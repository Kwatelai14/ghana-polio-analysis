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HIS2_Raw_Data" sheetId="1" state="visible" r:id="rId3"/>
    <sheet name="Coverage_Trends" sheetId="2" state="visible" r:id="rId4"/>
    <sheet name="AFP_Surveillance" sheetId="3" state="visible" r:id="rId5"/>
    <sheet name="Dropout_Rate" sheetId="4" state="visible" r:id="rId6"/>
    <sheet name="Zero_Dose_Children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<sst xmlns="http://schemas.openxmlformats.org/spreadsheetml/2006/main" count="403" uniqueCount="66">
  <si>
    <t xml:space="preserve">Period</t>
  </si>
  <si>
    <t xml:space="preserve">Year</t>
  </si>
  <si>
    <t xml:space="preserve">Quarter</t>
  </si>
  <si>
    <t xml:space="preserve">District</t>
  </si>
  <si>
    <t xml:space="preserve">Region</t>
  </si>
  <si>
    <t xml:space="preserve">Target_Children</t>
  </si>
  <si>
    <t xml:space="preserve">OPV0_Doses</t>
  </si>
  <si>
    <t xml:space="preserve">OPV1_Doses</t>
  </si>
  <si>
    <t xml:space="preserve">OPV2_Doses</t>
  </si>
  <si>
    <t xml:space="preserve">OPV3_Doses</t>
  </si>
  <si>
    <t xml:space="preserve">AFP_Cases</t>
  </si>
  <si>
    <t xml:space="preserve">Zero_Dose_Children</t>
  </si>
  <si>
    <t xml:space="preserve">2018Q1</t>
  </si>
  <si>
    <t xml:space="preserve">Accra Metro</t>
  </si>
  <si>
    <t xml:space="preserve">Greater Accra</t>
  </si>
  <si>
    <t xml:space="preserve">Kumasi Metro</t>
  </si>
  <si>
    <t xml:space="preserve">Ashanti</t>
  </si>
  <si>
    <t xml:space="preserve">Tamale Metro</t>
  </si>
  <si>
    <t xml:space="preserve">Northern</t>
  </si>
  <si>
    <t xml:space="preserve">2018Q2</t>
  </si>
  <si>
    <t xml:space="preserve">2018Q3</t>
  </si>
  <si>
    <t xml:space="preserve">2018Q4</t>
  </si>
  <si>
    <t xml:space="preserve">2019Q1</t>
  </si>
  <si>
    <t xml:space="preserve">2019Q2</t>
  </si>
  <si>
    <t xml:space="preserve">2019Q3</t>
  </si>
  <si>
    <t xml:space="preserve">2019Q4</t>
  </si>
  <si>
    <t xml:space="preserve">2020Q1</t>
  </si>
  <si>
    <t xml:space="preserve">2020Q2</t>
  </si>
  <si>
    <t xml:space="preserve">2020Q3</t>
  </si>
  <si>
    <t xml:space="preserve">2020Q4</t>
  </si>
  <si>
    <t xml:space="preserve">2021Q1</t>
  </si>
  <si>
    <t xml:space="preserve">2021Q2</t>
  </si>
  <si>
    <t xml:space="preserve">2021Q3</t>
  </si>
  <si>
    <t xml:space="preserve">2021Q4</t>
  </si>
  <si>
    <t xml:space="preserve">2022Q1</t>
  </si>
  <si>
    <t xml:space="preserve">2022Q2</t>
  </si>
  <si>
    <t xml:space="preserve">2022Q3</t>
  </si>
  <si>
    <t xml:space="preserve">2022Q4</t>
  </si>
  <si>
    <t xml:space="preserve">2023Q1</t>
  </si>
  <si>
    <t xml:space="preserve">2023Q2</t>
  </si>
  <si>
    <t xml:space="preserve">2023Q3</t>
  </si>
  <si>
    <t xml:space="preserve">2023Q4</t>
  </si>
  <si>
    <t xml:space="preserve">2024Q1</t>
  </si>
  <si>
    <t xml:space="preserve">2024Q2</t>
  </si>
  <si>
    <t xml:space="preserve">2024Q3</t>
  </si>
  <si>
    <t xml:space="preserve">2024Q4</t>
  </si>
  <si>
    <t xml:space="preserve">OPV3 COVERAGE TREND – GHANA THREE DISTRICTS (2018–2024)</t>
  </si>
  <si>
    <t xml:space="preserve">Source: DHIS2  |  Accra Metro · Kumasi Metro · Tamale Metro</t>
  </si>
  <si>
    <t xml:space="preserve">Average Coverage:</t>
  </si>
  <si>
    <t xml:space="preserve">Min Coverage:</t>
  </si>
  <si>
    <t xml:space="preserve">Max Coverage:</t>
  </si>
  <si>
    <t xml:space="preserve">AFP CASE SURVEILLANCE – THREE DISTRICTS (2018–2024)</t>
  </si>
  <si>
    <t xml:space="preserve">Accra AFP</t>
  </si>
  <si>
    <t xml:space="preserve">Kumasi AFP</t>
  </si>
  <si>
    <t xml:space="preserve">Tamale AFP</t>
  </si>
  <si>
    <t xml:space="preserve">3-District Total</t>
  </si>
  <si>
    <t xml:space="preserve">OPV1 → OPV3 DROPOUT RATE (2018–2024)</t>
  </si>
  <si>
    <t xml:space="preserve">Dropout = (OPV1 – OPV3) / OPV1  |  Target: &lt; 10%</t>
  </si>
  <si>
    <t xml:space="preserve">Accra Dropout</t>
  </si>
  <si>
    <t xml:space="preserve">Kumasi Dropout</t>
  </si>
  <si>
    <t xml:space="preserve">Tamale Dropout</t>
  </si>
  <si>
    <t xml:space="preserve">ZERO-DOSE CHILDREN TRACKER (2018–2024)</t>
  </si>
  <si>
    <t xml:space="preserve">Accra</t>
  </si>
  <si>
    <t xml:space="preserve">Kumasi</t>
  </si>
  <si>
    <t xml:space="preserve">Tamale</t>
  </si>
  <si>
    <t xml:space="preserve">District 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</si>
</sst>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3"/>
      <color rgb="FF1F497D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3"/>
      <color rgb="FFC00000"/>
      <name val="Arial"/>
      <family val="0"/>
      <charset val="1"/>
    </font>
    <font>
      <b val="true"/>
      <sz val="13"/>
      <color rgb="FFF0A5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3"/>
      <color rgb="FF7030A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97D"/>
        <bgColor rgb="FF003366"/>
      </patternFill>
    </fill>
    <fill>
      <patternFill patternType="solid">
        <fgColor rgb="FF2E75B6"/>
        <bgColor rgb="FF4F81BD"/>
      </patternFill>
    </fill>
    <fill>
      <patternFill patternType="solid">
        <fgColor rgb="FFFFC7CE"/>
        <bgColor rgb="FFD9D9D9"/>
      </patternFill>
    </fill>
    <fill>
      <patternFill patternType="solid">
        <fgColor rgb="FFFFEB9C"/>
        <bgColor rgb="FFD9D9D9"/>
      </patternFill>
    </fill>
    <fill>
      <patternFill patternType="solid">
        <fgColor rgb="FFC6EFCE"/>
        <bgColor rgb="FFD9D9D9"/>
      </patternFill>
    </fill>
    <fill>
      <patternFill patternType="solid">
        <fgColor rgb="FFC00000"/>
        <bgColor rgb="FF800000"/>
      </patternFill>
    </fill>
    <fill>
      <patternFill patternType="solid">
        <fgColor rgb="FFF0A500"/>
        <bgColor rgb="FFFFCC00"/>
      </patternFill>
    </fill>
    <fill>
      <patternFill patternType="solid">
        <fgColor rgb="FF7030A0"/>
        <bgColor rgb="FF800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7030A0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2E75B6"/>
      <rgbColor rgb="FF33CCCC"/>
      <rgbColor rgb="FF9BBB59"/>
      <rgbColor rgb="FFFFCC00"/>
      <rgbColor rgb="FFF0A500"/>
      <rgbColor rgb="FFFF6600"/>
      <rgbColor rgb="FF595959"/>
      <rgbColor rgb="FF70AD47"/>
      <rgbColor rgb="FF003366"/>
      <rgbColor rgb="FF4F81BD"/>
      <rgbColor rgb="FF003300"/>
      <rgbColor rgb="FF333300"/>
      <rgbColor rgb="FF993300"/>
      <rgbColor rgb="FFC0504D"/>
      <rgbColor rgb="FF1F497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OPV3 Coverage by District (2018–2024)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Coverage_Trends!B4</c:f>
              <c:strCache>
                <c:ptCount val="1"/>
                <c:pt idx="0">
                  <c:v>Accra Metro</c:v>
                </c:pt>
              </c:strCache>
            </c:strRef>
          </c:tx>
          <c:spPr>
            <a:solidFill>
              <a:srgbClr val="1f497d"/>
            </a:solidFill>
            <a:ln w="21960">
              <a:solidFill>
                <a:srgbClr val="1f497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Coverage_Trends!$A$5:$A$32</c:f>
              <c:strCache>
                <c:ptCount val="28"/>
                <c:pt idx="0">
                  <c:v>2018Q1</c:v>
                </c:pt>
                <c:pt idx="1">
                  <c:v>2018Q2</c:v>
                </c:pt>
                <c:pt idx="2">
                  <c:v>2018Q3</c:v>
                </c:pt>
                <c:pt idx="3">
                  <c:v>2018Q4</c:v>
                </c:pt>
                <c:pt idx="4">
                  <c:v>2019Q1</c:v>
                </c:pt>
                <c:pt idx="5">
                  <c:v>2019Q2</c:v>
                </c:pt>
                <c:pt idx="6">
                  <c:v>2019Q3</c:v>
                </c:pt>
                <c:pt idx="7">
                  <c:v>2019Q4</c:v>
                </c:pt>
                <c:pt idx="8">
                  <c:v>2020Q1</c:v>
                </c:pt>
                <c:pt idx="9">
                  <c:v>2020Q2</c:v>
                </c:pt>
                <c:pt idx="10">
                  <c:v>2020Q3</c:v>
                </c:pt>
                <c:pt idx="11">
                  <c:v>2020Q4</c:v>
                </c:pt>
                <c:pt idx="12">
                  <c:v>2021Q1</c:v>
                </c:pt>
                <c:pt idx="13">
                  <c:v>2021Q2</c:v>
                </c:pt>
                <c:pt idx="14">
                  <c:v>2021Q3</c:v>
                </c:pt>
                <c:pt idx="15">
                  <c:v>2021Q4</c:v>
                </c:pt>
                <c:pt idx="16">
                  <c:v>2022Q1</c:v>
                </c:pt>
                <c:pt idx="17">
                  <c:v>2022Q2</c:v>
                </c:pt>
                <c:pt idx="18">
                  <c:v>2022Q3</c:v>
                </c:pt>
                <c:pt idx="19">
                  <c:v>2022Q4</c:v>
                </c:pt>
                <c:pt idx="20">
                  <c:v>2023Q1</c:v>
                </c:pt>
                <c:pt idx="21">
                  <c:v>2023Q2</c:v>
                </c:pt>
                <c:pt idx="22">
                  <c:v>2023Q3</c:v>
                </c:pt>
                <c:pt idx="23">
                  <c:v>2023Q4</c:v>
                </c:pt>
                <c:pt idx="24">
                  <c:v>2024Q1</c:v>
                </c:pt>
                <c:pt idx="25">
                  <c:v>2024Q2</c:v>
                </c:pt>
                <c:pt idx="26">
                  <c:v>2024Q3</c:v>
                </c:pt>
                <c:pt idx="27">
                  <c:v>2024Q4</c:v>
                </c:pt>
              </c:strCache>
            </c:strRef>
          </c:cat>
          <c:val>
            <c:numRef>
              <c:f>Coverage_Trends!$B$5:$B$32</c:f>
              <c:numCache>
                <c:formatCode>0.0%</c:formatCode>
                <c:ptCount val="28"/>
                <c:pt idx="0">
                  <c:v>0.692264511058718</c:v>
                </c:pt>
                <c:pt idx="1">
                  <c:v>0.785627619677918</c:v>
                </c:pt>
                <c:pt idx="2">
                  <c:v>0.827301622706742</c:v>
                </c:pt>
                <c:pt idx="3">
                  <c:v>0.722718143271591</c:v>
                </c:pt>
                <c:pt idx="4">
                  <c:v>0.710400172348791</c:v>
                </c:pt>
                <c:pt idx="5">
                  <c:v>0.827474485663373</c:v>
                </c:pt>
                <c:pt idx="6">
                  <c:v>0.848525319977741</c:v>
                </c:pt>
                <c:pt idx="7">
                  <c:v>0.791229690811281</c:v>
                </c:pt>
                <c:pt idx="8">
                  <c:v>0.757132091721391</c:v>
                </c:pt>
                <c:pt idx="9">
                  <c:v>0.862105940381729</c:v>
                </c:pt>
                <c:pt idx="10">
                  <c:v>0.89065180102916</c:v>
                </c:pt>
                <c:pt idx="11">
                  <c:v>0.812219914744781</c:v>
                </c:pt>
                <c:pt idx="12">
                  <c:v>0.778246701212672</c:v>
                </c:pt>
                <c:pt idx="13">
                  <c:v>0.874541686593337</c:v>
                </c:pt>
                <c:pt idx="14">
                  <c:v>0.949897640340481</c:v>
                </c:pt>
                <c:pt idx="15">
                  <c:v>0.840377358490566</c:v>
                </c:pt>
                <c:pt idx="16">
                  <c:v>0.813964484606494</c:v>
                </c:pt>
                <c:pt idx="17">
                  <c:v>0.939313984168866</c:v>
                </c:pt>
                <c:pt idx="18">
                  <c:v>0.974132026763606</c:v>
                </c:pt>
                <c:pt idx="19">
                  <c:v>0.873223929114455</c:v>
                </c:pt>
                <c:pt idx="20">
                  <c:v>0.849557522123894</c:v>
                </c:pt>
                <c:pt idx="21">
                  <c:v>0.956764368415563</c:v>
                </c:pt>
                <c:pt idx="22">
                  <c:v>1.01544521612937</c:v>
                </c:pt>
                <c:pt idx="23">
                  <c:v>0.90157339986761</c:v>
                </c:pt>
                <c:pt idx="24">
                  <c:v>0.873984575835476</c:v>
                </c:pt>
                <c:pt idx="25">
                  <c:v>0.99747070665359</c:v>
                </c:pt>
                <c:pt idx="26">
                  <c:v>1.02596602863447</c:v>
                </c:pt>
                <c:pt idx="27">
                  <c:v>0.902469885615953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Coverage_Trends!C4</c:f>
              <c:strCache>
                <c:ptCount val="1"/>
                <c:pt idx="0">
                  <c:v>Kumasi Metro</c:v>
                </c:pt>
              </c:strCache>
            </c:strRef>
          </c:tx>
          <c:spPr>
            <a:solidFill>
              <a:srgbClr val="70ad47"/>
            </a:solidFill>
            <a:ln w="21960">
              <a:solidFill>
                <a:srgbClr val="70ad4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Coverage_Trends!$A$5:$A$32</c:f>
              <c:strCache>
                <c:ptCount val="28"/>
                <c:pt idx="0">
                  <c:v>2018Q1</c:v>
                </c:pt>
                <c:pt idx="1">
                  <c:v>2018Q2</c:v>
                </c:pt>
                <c:pt idx="2">
                  <c:v>2018Q3</c:v>
                </c:pt>
                <c:pt idx="3">
                  <c:v>2018Q4</c:v>
                </c:pt>
                <c:pt idx="4">
                  <c:v>2019Q1</c:v>
                </c:pt>
                <c:pt idx="5">
                  <c:v>2019Q2</c:v>
                </c:pt>
                <c:pt idx="6">
                  <c:v>2019Q3</c:v>
                </c:pt>
                <c:pt idx="7">
                  <c:v>2019Q4</c:v>
                </c:pt>
                <c:pt idx="8">
                  <c:v>2020Q1</c:v>
                </c:pt>
                <c:pt idx="9">
                  <c:v>2020Q2</c:v>
                </c:pt>
                <c:pt idx="10">
                  <c:v>2020Q3</c:v>
                </c:pt>
                <c:pt idx="11">
                  <c:v>2020Q4</c:v>
                </c:pt>
                <c:pt idx="12">
                  <c:v>2021Q1</c:v>
                </c:pt>
                <c:pt idx="13">
                  <c:v>2021Q2</c:v>
                </c:pt>
                <c:pt idx="14">
                  <c:v>2021Q3</c:v>
                </c:pt>
                <c:pt idx="15">
                  <c:v>2021Q4</c:v>
                </c:pt>
                <c:pt idx="16">
                  <c:v>2022Q1</c:v>
                </c:pt>
                <c:pt idx="17">
                  <c:v>2022Q2</c:v>
                </c:pt>
                <c:pt idx="18">
                  <c:v>2022Q3</c:v>
                </c:pt>
                <c:pt idx="19">
                  <c:v>2022Q4</c:v>
                </c:pt>
                <c:pt idx="20">
                  <c:v>2023Q1</c:v>
                </c:pt>
                <c:pt idx="21">
                  <c:v>2023Q2</c:v>
                </c:pt>
                <c:pt idx="22">
                  <c:v>2023Q3</c:v>
                </c:pt>
                <c:pt idx="23">
                  <c:v>2023Q4</c:v>
                </c:pt>
                <c:pt idx="24">
                  <c:v>2024Q1</c:v>
                </c:pt>
                <c:pt idx="25">
                  <c:v>2024Q2</c:v>
                </c:pt>
                <c:pt idx="26">
                  <c:v>2024Q3</c:v>
                </c:pt>
                <c:pt idx="27">
                  <c:v>2024Q4</c:v>
                </c:pt>
              </c:strCache>
            </c:strRef>
          </c:cat>
          <c:val>
            <c:numRef>
              <c:f>Coverage_Trends!$C$5:$C$32</c:f>
              <c:numCache>
                <c:formatCode>0.0%</c:formatCode>
                <c:ptCount val="28"/>
                <c:pt idx="0">
                  <c:v>0.637027520454392</c:v>
                </c:pt>
                <c:pt idx="1">
                  <c:v>0.719439277172469</c:v>
                </c:pt>
                <c:pt idx="2">
                  <c:v>0.773104226099648</c:v>
                </c:pt>
                <c:pt idx="3">
                  <c:v>0.704621343662348</c:v>
                </c:pt>
                <c:pt idx="4">
                  <c:v>0.67072359670125</c:v>
                </c:pt>
                <c:pt idx="5">
                  <c:v>0.790100704271704</c:v>
                </c:pt>
                <c:pt idx="6">
                  <c:v>0.823983123475509</c:v>
                </c:pt>
                <c:pt idx="7">
                  <c:v>0.697373578988632</c:v>
                </c:pt>
                <c:pt idx="8">
                  <c:v>0.687237828905555</c:v>
                </c:pt>
                <c:pt idx="9">
                  <c:v>0.798917650127144</c:v>
                </c:pt>
                <c:pt idx="10">
                  <c:v>0.851890279489009</c:v>
                </c:pt>
                <c:pt idx="11">
                  <c:v>0.742503259452412</c:v>
                </c:pt>
                <c:pt idx="12">
                  <c:v>0.737506473329881</c:v>
                </c:pt>
                <c:pt idx="13">
                  <c:v>0.838372093023256</c:v>
                </c:pt>
                <c:pt idx="14">
                  <c:v>0.871371947321314</c:v>
                </c:pt>
                <c:pt idx="15">
                  <c:v>0.78581380620646</c:v>
                </c:pt>
                <c:pt idx="16">
                  <c:v>0.737788563250576</c:v>
                </c:pt>
                <c:pt idx="17">
                  <c:v>0.87403286655157</c:v>
                </c:pt>
                <c:pt idx="18">
                  <c:v>0.877160998302634</c:v>
                </c:pt>
                <c:pt idx="19">
                  <c:v>0.771444520250574</c:v>
                </c:pt>
                <c:pt idx="20">
                  <c:v>0.775212181727409</c:v>
                </c:pt>
                <c:pt idx="21">
                  <c:v>0.879837817913749</c:v>
                </c:pt>
                <c:pt idx="22">
                  <c:v>0.936176875861205</c:v>
                </c:pt>
                <c:pt idx="23">
                  <c:v>0.806078503752922</c:v>
                </c:pt>
                <c:pt idx="24">
                  <c:v>0.813076176613295</c:v>
                </c:pt>
                <c:pt idx="25">
                  <c:v>0.927375329693921</c:v>
                </c:pt>
                <c:pt idx="26">
                  <c:v>0.969190568789499</c:v>
                </c:pt>
                <c:pt idx="27">
                  <c:v>0.868307766931425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Coverage_Trends!D4</c:f>
              <c:strCache>
                <c:ptCount val="1"/>
                <c:pt idx="0">
                  <c:v>Tamale Metro</c:v>
                </c:pt>
              </c:strCache>
            </c:strRef>
          </c:tx>
          <c:spPr>
            <a:solidFill>
              <a:srgbClr val="c00000"/>
            </a:solidFill>
            <a:ln w="2196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Coverage_Trends!$A$5:$A$32</c:f>
              <c:strCache>
                <c:ptCount val="28"/>
                <c:pt idx="0">
                  <c:v>2018Q1</c:v>
                </c:pt>
                <c:pt idx="1">
                  <c:v>2018Q2</c:v>
                </c:pt>
                <c:pt idx="2">
                  <c:v>2018Q3</c:v>
                </c:pt>
                <c:pt idx="3">
                  <c:v>2018Q4</c:v>
                </c:pt>
                <c:pt idx="4">
                  <c:v>2019Q1</c:v>
                </c:pt>
                <c:pt idx="5">
                  <c:v>2019Q2</c:v>
                </c:pt>
                <c:pt idx="6">
                  <c:v>2019Q3</c:v>
                </c:pt>
                <c:pt idx="7">
                  <c:v>2019Q4</c:v>
                </c:pt>
                <c:pt idx="8">
                  <c:v>2020Q1</c:v>
                </c:pt>
                <c:pt idx="9">
                  <c:v>2020Q2</c:v>
                </c:pt>
                <c:pt idx="10">
                  <c:v>2020Q3</c:v>
                </c:pt>
                <c:pt idx="11">
                  <c:v>2020Q4</c:v>
                </c:pt>
                <c:pt idx="12">
                  <c:v>2021Q1</c:v>
                </c:pt>
                <c:pt idx="13">
                  <c:v>2021Q2</c:v>
                </c:pt>
                <c:pt idx="14">
                  <c:v>2021Q3</c:v>
                </c:pt>
                <c:pt idx="15">
                  <c:v>2021Q4</c:v>
                </c:pt>
                <c:pt idx="16">
                  <c:v>2022Q1</c:v>
                </c:pt>
                <c:pt idx="17">
                  <c:v>2022Q2</c:v>
                </c:pt>
                <c:pt idx="18">
                  <c:v>2022Q3</c:v>
                </c:pt>
                <c:pt idx="19">
                  <c:v>2022Q4</c:v>
                </c:pt>
                <c:pt idx="20">
                  <c:v>2023Q1</c:v>
                </c:pt>
                <c:pt idx="21">
                  <c:v>2023Q2</c:v>
                </c:pt>
                <c:pt idx="22">
                  <c:v>2023Q3</c:v>
                </c:pt>
                <c:pt idx="23">
                  <c:v>2023Q4</c:v>
                </c:pt>
                <c:pt idx="24">
                  <c:v>2024Q1</c:v>
                </c:pt>
                <c:pt idx="25">
                  <c:v>2024Q2</c:v>
                </c:pt>
                <c:pt idx="26">
                  <c:v>2024Q3</c:v>
                </c:pt>
                <c:pt idx="27">
                  <c:v>2024Q4</c:v>
                </c:pt>
              </c:strCache>
            </c:strRef>
          </c:cat>
          <c:val>
            <c:numRef>
              <c:f>Coverage_Trends!$D$5:$D$32</c:f>
              <c:numCache>
                <c:formatCode>0.0%</c:formatCode>
                <c:ptCount val="28"/>
                <c:pt idx="0">
                  <c:v>0.534020252265056</c:v>
                </c:pt>
                <c:pt idx="1">
                  <c:v>0.629383044829117</c:v>
                </c:pt>
                <c:pt idx="2">
                  <c:v>0.655724137931035</c:v>
                </c:pt>
                <c:pt idx="3">
                  <c:v>0.600411854239413</c:v>
                </c:pt>
                <c:pt idx="4">
                  <c:v>0.559816626994622</c:v>
                </c:pt>
                <c:pt idx="5">
                  <c:v>0.678907142229641</c:v>
                </c:pt>
                <c:pt idx="6">
                  <c:v>0.717766675431677</c:v>
                </c:pt>
                <c:pt idx="7">
                  <c:v>0.640958644922966</c:v>
                </c:pt>
                <c:pt idx="8">
                  <c:v>0.621927668539326</c:v>
                </c:pt>
                <c:pt idx="9">
                  <c:v>0.725927262882411</c:v>
                </c:pt>
                <c:pt idx="10">
                  <c:v>0.775069396252602</c:v>
                </c:pt>
                <c:pt idx="11">
                  <c:v>0.674582688005507</c:v>
                </c:pt>
                <c:pt idx="12">
                  <c:v>0.697881729920565</c:v>
                </c:pt>
                <c:pt idx="13">
                  <c:v>0.783610867659947</c:v>
                </c:pt>
                <c:pt idx="14">
                  <c:v>0.797215122939984</c:v>
                </c:pt>
                <c:pt idx="15">
                  <c:v>0.735232067510549</c:v>
                </c:pt>
                <c:pt idx="16">
                  <c:v>0.740231859167025</c:v>
                </c:pt>
                <c:pt idx="17">
                  <c:v>0.84235153990131</c:v>
                </c:pt>
                <c:pt idx="18">
                  <c:v>0.860231528770855</c:v>
                </c:pt>
                <c:pt idx="19">
                  <c:v>0.802358369648808</c:v>
                </c:pt>
                <c:pt idx="20">
                  <c:v>0.766804194602029</c:v>
                </c:pt>
                <c:pt idx="21">
                  <c:v>0.866122720839231</c:v>
                </c:pt>
                <c:pt idx="22">
                  <c:v>0.916847192134644</c:v>
                </c:pt>
                <c:pt idx="23">
                  <c:v>0.834719680585593</c:v>
                </c:pt>
                <c:pt idx="24">
                  <c:v>0.804769001490313</c:v>
                </c:pt>
                <c:pt idx="25">
                  <c:v>0.927054478301016</c:v>
                </c:pt>
                <c:pt idx="26">
                  <c:v>0.986581096849475</c:v>
                </c:pt>
                <c:pt idx="27">
                  <c:v>0.851078054487715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6923987"/>
        <c:axId val="98538962"/>
      </c:lineChart>
      <c:catAx>
        <c:axId val="6692398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Quarter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538962"/>
        <c:crosses val="autoZero"/>
        <c:auto val="1"/>
        <c:lblAlgn val="ctr"/>
        <c:lblOffset val="100"/>
        <c:noMultiLvlLbl val="0"/>
      </c:catAx>
      <c:valAx>
        <c:axId val="9853896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Coverage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92398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AFP Cases by District (2018–2024)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AFP_Surveillance!B3</c:f>
              <c:strCache>
                <c:ptCount val="1"/>
                <c:pt idx="0">
                  <c:v>Accra AFP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AFP_Surveillance!$A$4:$A$31</c:f>
              <c:strCache>
                <c:ptCount val="28"/>
                <c:pt idx="0">
                  <c:v>2018Q1</c:v>
                </c:pt>
                <c:pt idx="1">
                  <c:v>2018Q2</c:v>
                </c:pt>
                <c:pt idx="2">
                  <c:v>2018Q3</c:v>
                </c:pt>
                <c:pt idx="3">
                  <c:v>2018Q4</c:v>
                </c:pt>
                <c:pt idx="4">
                  <c:v>2019Q1</c:v>
                </c:pt>
                <c:pt idx="5">
                  <c:v>2019Q2</c:v>
                </c:pt>
                <c:pt idx="6">
                  <c:v>2019Q3</c:v>
                </c:pt>
                <c:pt idx="7">
                  <c:v>2019Q4</c:v>
                </c:pt>
                <c:pt idx="8">
                  <c:v>2020Q1</c:v>
                </c:pt>
                <c:pt idx="9">
                  <c:v>2020Q2</c:v>
                </c:pt>
                <c:pt idx="10">
                  <c:v>2020Q3</c:v>
                </c:pt>
                <c:pt idx="11">
                  <c:v>2020Q4</c:v>
                </c:pt>
                <c:pt idx="12">
                  <c:v>2021Q1</c:v>
                </c:pt>
                <c:pt idx="13">
                  <c:v>2021Q2</c:v>
                </c:pt>
                <c:pt idx="14">
                  <c:v>2021Q3</c:v>
                </c:pt>
                <c:pt idx="15">
                  <c:v>2021Q4</c:v>
                </c:pt>
                <c:pt idx="16">
                  <c:v>2022Q1</c:v>
                </c:pt>
                <c:pt idx="17">
                  <c:v>2022Q2</c:v>
                </c:pt>
                <c:pt idx="18">
                  <c:v>2022Q3</c:v>
                </c:pt>
                <c:pt idx="19">
                  <c:v>2022Q4</c:v>
                </c:pt>
                <c:pt idx="20">
                  <c:v>2023Q1</c:v>
                </c:pt>
                <c:pt idx="21">
                  <c:v>2023Q2</c:v>
                </c:pt>
                <c:pt idx="22">
                  <c:v>2023Q3</c:v>
                </c:pt>
                <c:pt idx="23">
                  <c:v>2023Q4</c:v>
                </c:pt>
                <c:pt idx="24">
                  <c:v>2024Q1</c:v>
                </c:pt>
                <c:pt idx="25">
                  <c:v>2024Q2</c:v>
                </c:pt>
                <c:pt idx="26">
                  <c:v>2024Q3</c:v>
                </c:pt>
                <c:pt idx="27">
                  <c:v>2024Q4</c:v>
                </c:pt>
              </c:strCache>
            </c:strRef>
          </c:cat>
          <c:val>
            <c:numRef>
              <c:f>AFP_Surveillance!$B$4:$B$31</c:f>
              <c:numCache>
                <c:formatCode>General</c:formatCode>
                <c:ptCount val="28"/>
                <c:pt idx="0">
                  <c:v>4</c:v>
                </c:pt>
                <c:pt idx="1">
                  <c:v>4</c:v>
                </c:pt>
                <c:pt idx="2">
                  <c:v>1</c:v>
                </c:pt>
                <c:pt idx="3">
                  <c:v>1</c:v>
                </c:pt>
                <c:pt idx="4">
                  <c:v>4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4</c:v>
                </c:pt>
                <c:pt idx="9">
                  <c:v>2</c:v>
                </c:pt>
                <c:pt idx="10">
                  <c:v>4</c:v>
                </c:pt>
                <c:pt idx="11">
                  <c:v>4</c:v>
                </c:pt>
                <c:pt idx="12">
                  <c:v>2</c:v>
                </c:pt>
                <c:pt idx="13">
                  <c:v>2</c:v>
                </c:pt>
                <c:pt idx="14">
                  <c:v>5</c:v>
                </c:pt>
                <c:pt idx="15">
                  <c:v>3</c:v>
                </c:pt>
                <c:pt idx="16">
                  <c:v>5</c:v>
                </c:pt>
                <c:pt idx="17">
                  <c:v>4</c:v>
                </c:pt>
                <c:pt idx="18">
                  <c:v>4</c:v>
                </c:pt>
                <c:pt idx="19">
                  <c:v>6</c:v>
                </c:pt>
                <c:pt idx="20">
                  <c:v>5</c:v>
                </c:pt>
                <c:pt idx="21">
                  <c:v>4</c:v>
                </c:pt>
                <c:pt idx="22">
                  <c:v>5</c:v>
                </c:pt>
                <c:pt idx="23">
                  <c:v>4</c:v>
                </c:pt>
                <c:pt idx="24">
                  <c:v>3</c:v>
                </c:pt>
                <c:pt idx="25">
                  <c:v>4</c:v>
                </c:pt>
                <c:pt idx="26">
                  <c:v>4</c:v>
                </c:pt>
                <c:pt idx="27">
                  <c:v>3</c:v>
                </c:pt>
              </c:numCache>
            </c:numRef>
          </c:val>
        </c:ser>
        <c:ser>
          <c:idx val="1"/>
          <c:order val="1"/>
          <c:tx>
            <c:strRef>
              <c:f>AFP_Surveillance!C3</c:f>
              <c:strCache>
                <c:ptCount val="1"/>
                <c:pt idx="0">
                  <c:v>Kumasi AFP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AFP_Surveillance!$A$4:$A$31</c:f>
              <c:strCache>
                <c:ptCount val="28"/>
                <c:pt idx="0">
                  <c:v>2018Q1</c:v>
                </c:pt>
                <c:pt idx="1">
                  <c:v>2018Q2</c:v>
                </c:pt>
                <c:pt idx="2">
                  <c:v>2018Q3</c:v>
                </c:pt>
                <c:pt idx="3">
                  <c:v>2018Q4</c:v>
                </c:pt>
                <c:pt idx="4">
                  <c:v>2019Q1</c:v>
                </c:pt>
                <c:pt idx="5">
                  <c:v>2019Q2</c:v>
                </c:pt>
                <c:pt idx="6">
                  <c:v>2019Q3</c:v>
                </c:pt>
                <c:pt idx="7">
                  <c:v>2019Q4</c:v>
                </c:pt>
                <c:pt idx="8">
                  <c:v>2020Q1</c:v>
                </c:pt>
                <c:pt idx="9">
                  <c:v>2020Q2</c:v>
                </c:pt>
                <c:pt idx="10">
                  <c:v>2020Q3</c:v>
                </c:pt>
                <c:pt idx="11">
                  <c:v>2020Q4</c:v>
                </c:pt>
                <c:pt idx="12">
                  <c:v>2021Q1</c:v>
                </c:pt>
                <c:pt idx="13">
                  <c:v>2021Q2</c:v>
                </c:pt>
                <c:pt idx="14">
                  <c:v>2021Q3</c:v>
                </c:pt>
                <c:pt idx="15">
                  <c:v>2021Q4</c:v>
                </c:pt>
                <c:pt idx="16">
                  <c:v>2022Q1</c:v>
                </c:pt>
                <c:pt idx="17">
                  <c:v>2022Q2</c:v>
                </c:pt>
                <c:pt idx="18">
                  <c:v>2022Q3</c:v>
                </c:pt>
                <c:pt idx="19">
                  <c:v>2022Q4</c:v>
                </c:pt>
                <c:pt idx="20">
                  <c:v>2023Q1</c:v>
                </c:pt>
                <c:pt idx="21">
                  <c:v>2023Q2</c:v>
                </c:pt>
                <c:pt idx="22">
                  <c:v>2023Q3</c:v>
                </c:pt>
                <c:pt idx="23">
                  <c:v>2023Q4</c:v>
                </c:pt>
                <c:pt idx="24">
                  <c:v>2024Q1</c:v>
                </c:pt>
                <c:pt idx="25">
                  <c:v>2024Q2</c:v>
                </c:pt>
                <c:pt idx="26">
                  <c:v>2024Q3</c:v>
                </c:pt>
                <c:pt idx="27">
                  <c:v>2024Q4</c:v>
                </c:pt>
              </c:strCache>
            </c:strRef>
          </c:cat>
          <c:val>
            <c:numRef>
              <c:f>AFP_Surveillance!$C$4:$C$31</c:f>
              <c:numCache>
                <c:formatCode>General</c:formatCode>
                <c:ptCount val="28"/>
                <c:pt idx="0">
                  <c:v>3</c:v>
                </c:pt>
                <c:pt idx="1">
                  <c:v>2</c:v>
                </c:pt>
                <c:pt idx="2">
                  <c:v>4</c:v>
                </c:pt>
                <c:pt idx="3">
                  <c:v>4</c:v>
                </c:pt>
                <c:pt idx="4">
                  <c:v>3</c:v>
                </c:pt>
                <c:pt idx="5">
                  <c:v>3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4</c:v>
                </c:pt>
                <c:pt idx="10">
                  <c:v>2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4</c:v>
                </c:pt>
                <c:pt idx="15">
                  <c:v>2</c:v>
                </c:pt>
                <c:pt idx="16">
                  <c:v>5</c:v>
                </c:pt>
                <c:pt idx="17">
                  <c:v>4</c:v>
                </c:pt>
                <c:pt idx="18">
                  <c:v>3</c:v>
                </c:pt>
                <c:pt idx="19">
                  <c:v>3</c:v>
                </c:pt>
                <c:pt idx="20">
                  <c:v>2</c:v>
                </c:pt>
                <c:pt idx="21">
                  <c:v>2</c:v>
                </c:pt>
                <c:pt idx="22">
                  <c:v>4</c:v>
                </c:pt>
                <c:pt idx="23">
                  <c:v>2</c:v>
                </c:pt>
                <c:pt idx="24">
                  <c:v>4</c:v>
                </c:pt>
                <c:pt idx="25">
                  <c:v>3</c:v>
                </c:pt>
                <c:pt idx="26">
                  <c:v>3</c:v>
                </c:pt>
                <c:pt idx="27">
                  <c:v>2</c:v>
                </c:pt>
              </c:numCache>
            </c:numRef>
          </c:val>
        </c:ser>
        <c:ser>
          <c:idx val="2"/>
          <c:order val="2"/>
          <c:tx>
            <c:strRef>
              <c:f>AFP_Surveillance!D3</c:f>
              <c:strCache>
                <c:ptCount val="1"/>
                <c:pt idx="0">
                  <c:v>Tamale AFP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AFP_Surveillance!$A$4:$A$31</c:f>
              <c:strCache>
                <c:ptCount val="28"/>
                <c:pt idx="0">
                  <c:v>2018Q1</c:v>
                </c:pt>
                <c:pt idx="1">
                  <c:v>2018Q2</c:v>
                </c:pt>
                <c:pt idx="2">
                  <c:v>2018Q3</c:v>
                </c:pt>
                <c:pt idx="3">
                  <c:v>2018Q4</c:v>
                </c:pt>
                <c:pt idx="4">
                  <c:v>2019Q1</c:v>
                </c:pt>
                <c:pt idx="5">
                  <c:v>2019Q2</c:v>
                </c:pt>
                <c:pt idx="6">
                  <c:v>2019Q3</c:v>
                </c:pt>
                <c:pt idx="7">
                  <c:v>2019Q4</c:v>
                </c:pt>
                <c:pt idx="8">
                  <c:v>2020Q1</c:v>
                </c:pt>
                <c:pt idx="9">
                  <c:v>2020Q2</c:v>
                </c:pt>
                <c:pt idx="10">
                  <c:v>2020Q3</c:v>
                </c:pt>
                <c:pt idx="11">
                  <c:v>2020Q4</c:v>
                </c:pt>
                <c:pt idx="12">
                  <c:v>2021Q1</c:v>
                </c:pt>
                <c:pt idx="13">
                  <c:v>2021Q2</c:v>
                </c:pt>
                <c:pt idx="14">
                  <c:v>2021Q3</c:v>
                </c:pt>
                <c:pt idx="15">
                  <c:v>2021Q4</c:v>
                </c:pt>
                <c:pt idx="16">
                  <c:v>2022Q1</c:v>
                </c:pt>
                <c:pt idx="17">
                  <c:v>2022Q2</c:v>
                </c:pt>
                <c:pt idx="18">
                  <c:v>2022Q3</c:v>
                </c:pt>
                <c:pt idx="19">
                  <c:v>2022Q4</c:v>
                </c:pt>
                <c:pt idx="20">
                  <c:v>2023Q1</c:v>
                </c:pt>
                <c:pt idx="21">
                  <c:v>2023Q2</c:v>
                </c:pt>
                <c:pt idx="22">
                  <c:v>2023Q3</c:v>
                </c:pt>
                <c:pt idx="23">
                  <c:v>2023Q4</c:v>
                </c:pt>
                <c:pt idx="24">
                  <c:v>2024Q1</c:v>
                </c:pt>
                <c:pt idx="25">
                  <c:v>2024Q2</c:v>
                </c:pt>
                <c:pt idx="26">
                  <c:v>2024Q3</c:v>
                </c:pt>
                <c:pt idx="27">
                  <c:v>2024Q4</c:v>
                </c:pt>
              </c:strCache>
            </c:strRef>
          </c:cat>
          <c:val>
            <c:numRef>
              <c:f>AFP_Surveillance!$D$4:$D$31</c:f>
              <c:numCache>
                <c:formatCode>General</c:formatCode>
                <c:ptCount val="28"/>
                <c:pt idx="0">
                  <c:v>5</c:v>
                </c:pt>
                <c:pt idx="1">
                  <c:v>6</c:v>
                </c:pt>
                <c:pt idx="2">
                  <c:v>5</c:v>
                </c:pt>
                <c:pt idx="3">
                  <c:v>5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5</c:v>
                </c:pt>
                <c:pt idx="9">
                  <c:v>4</c:v>
                </c:pt>
                <c:pt idx="10">
                  <c:v>6</c:v>
                </c:pt>
                <c:pt idx="11">
                  <c:v>3</c:v>
                </c:pt>
                <c:pt idx="12">
                  <c:v>3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2</c:v>
                </c:pt>
                <c:pt idx="17">
                  <c:v>4</c:v>
                </c:pt>
                <c:pt idx="18">
                  <c:v>3</c:v>
                </c:pt>
                <c:pt idx="19">
                  <c:v>6</c:v>
                </c:pt>
                <c:pt idx="20">
                  <c:v>3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7</c:v>
                </c:pt>
                <c:pt idx="25">
                  <c:v>5</c:v>
                </c:pt>
                <c:pt idx="26">
                  <c:v>4</c:v>
                </c:pt>
                <c:pt idx="27">
                  <c:v>3</c:v>
                </c:pt>
              </c:numCache>
            </c:numRef>
          </c:val>
        </c:ser>
        <c:gapWidth val="150"/>
        <c:overlap val="0"/>
        <c:axId val="41007020"/>
        <c:axId val="82193446"/>
      </c:barChart>
      <c:catAx>
        <c:axId val="4100702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Quarter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193446"/>
        <c:crosses val="autoZero"/>
        <c:auto val="1"/>
        <c:lblAlgn val="ctr"/>
        <c:lblOffset val="100"/>
        <c:noMultiLvlLbl val="0"/>
      </c:catAx>
      <c:valAx>
        <c:axId val="8219344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AFP Cases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00702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</xdr:row>
      <xdr:rowOff>176040</xdr:rowOff>
    </xdr:from>
    <xdr:to>
      <xdr:col>20</xdr:col>
      <xdr:colOff>187200</xdr:colOff>
      <xdr:row>29</xdr:row>
      <xdr:rowOff>72360</xdr:rowOff>
    </xdr:to>
    <xdr:graphicFrame>
      <xdr:nvGraphicFramePr>
        <xdr:cNvPr id="0" name="Chart 1"/>
        <xdr:cNvGraphicFramePr/>
      </xdr:nvGraphicFramePr>
      <xdr:xfrm>
        <a:off x="5263560" y="571680"/>
        <a:ext cx="935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</xdr:row>
      <xdr:rowOff>175680</xdr:rowOff>
    </xdr:from>
    <xdr:to>
      <xdr:col>21</xdr:col>
      <xdr:colOff>187200</xdr:colOff>
      <xdr:row>28</xdr:row>
      <xdr:rowOff>72000</xdr:rowOff>
    </xdr:to>
    <xdr:graphicFrame>
      <xdr:nvGraphicFramePr>
        <xdr:cNvPr id="1" name="Chart 1"/>
        <xdr:cNvGraphicFramePr/>
      </xdr:nvGraphicFramePr>
      <xdr:xfrm>
        <a:off x="5686560" y="380880"/>
        <a:ext cx="935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7"/>
    <col collapsed="false" customWidth="true" hidden="false" outlineLevel="0" max="3" min="3" style="0" width="9"/>
    <col collapsed="false" customWidth="true" hidden="false" outlineLevel="0" max="5" min="4" style="0" width="16"/>
    <col collapsed="false" customWidth="true" hidden="false" outlineLevel="0" max="6" min="6" style="0" width="18"/>
    <col collapsed="false" customWidth="true" hidden="false" outlineLevel="0" max="10" min="7" style="0" width="13"/>
    <col collapsed="false" customWidth="true" hidden="false" outlineLevel="0" max="11" min="11" style="0" width="12"/>
    <col collapsed="false" customWidth="true" hidden="false" outlineLevel="0" max="12" min="12" style="0" width="2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0" t="s">
        <v>12</v>
      </c>
      <c r="B2" s="0" t="n">
        <v>2018</v>
      </c>
      <c r="C2" s="0" t="n">
        <v>1</v>
      </c>
      <c r="D2" s="0" t="s">
        <v>13</v>
      </c>
      <c r="E2" s="0" t="s">
        <v>14</v>
      </c>
      <c r="F2" s="0" t="n">
        <v>17814</v>
      </c>
      <c r="G2" s="0" t="n">
        <v>14515</v>
      </c>
      <c r="H2" s="0" t="n">
        <v>13991</v>
      </c>
      <c r="I2" s="0" t="n">
        <v>13387</v>
      </c>
      <c r="J2" s="0" t="n">
        <v>12332</v>
      </c>
      <c r="K2" s="0" t="n">
        <v>4</v>
      </c>
      <c r="L2" s="0" t="n">
        <v>1984</v>
      </c>
    </row>
    <row r="3" customFormat="false" ht="15" hidden="false" customHeight="false" outlineLevel="0" collapsed="false">
      <c r="A3" s="0" t="s">
        <v>12</v>
      </c>
      <c r="B3" s="0" t="n">
        <v>2018</v>
      </c>
      <c r="C3" s="0" t="n">
        <v>1</v>
      </c>
      <c r="D3" s="0" t="s">
        <v>15</v>
      </c>
      <c r="E3" s="0" t="s">
        <v>16</v>
      </c>
      <c r="F3" s="0" t="n">
        <v>14789</v>
      </c>
      <c r="G3" s="0" t="n">
        <v>11513</v>
      </c>
      <c r="H3" s="0" t="n">
        <v>11054</v>
      </c>
      <c r="I3" s="0" t="n">
        <v>10299</v>
      </c>
      <c r="J3" s="0" t="n">
        <v>9421</v>
      </c>
      <c r="K3" s="0" t="n">
        <v>3</v>
      </c>
      <c r="L3" s="0" t="n">
        <v>1255</v>
      </c>
    </row>
    <row r="4" customFormat="false" ht="15" hidden="false" customHeight="false" outlineLevel="0" collapsed="false">
      <c r="A4" s="0" t="s">
        <v>12</v>
      </c>
      <c r="B4" s="0" t="n">
        <v>2018</v>
      </c>
      <c r="C4" s="0" t="n">
        <v>1</v>
      </c>
      <c r="D4" s="0" t="s">
        <v>17</v>
      </c>
      <c r="E4" s="0" t="s">
        <v>18</v>
      </c>
      <c r="F4" s="0" t="n">
        <v>11258</v>
      </c>
      <c r="G4" s="0" t="n">
        <v>6976</v>
      </c>
      <c r="H4" s="0" t="n">
        <v>6753</v>
      </c>
      <c r="I4" s="0" t="n">
        <v>6507</v>
      </c>
      <c r="J4" s="0" t="n">
        <v>6012</v>
      </c>
      <c r="K4" s="0" t="n">
        <v>5</v>
      </c>
      <c r="L4" s="0" t="n">
        <v>594</v>
      </c>
    </row>
    <row r="5" customFormat="false" ht="15" hidden="false" customHeight="false" outlineLevel="0" collapsed="false">
      <c r="A5" s="0" t="s">
        <v>19</v>
      </c>
      <c r="B5" s="0" t="n">
        <v>2018</v>
      </c>
      <c r="C5" s="0" t="n">
        <v>2</v>
      </c>
      <c r="D5" s="0" t="s">
        <v>13</v>
      </c>
      <c r="E5" s="0" t="s">
        <v>14</v>
      </c>
      <c r="F5" s="0" t="n">
        <v>18132</v>
      </c>
      <c r="G5" s="0" t="n">
        <v>16983</v>
      </c>
      <c r="H5" s="0" t="n">
        <v>15873</v>
      </c>
      <c r="I5" s="0" t="n">
        <v>14871</v>
      </c>
      <c r="J5" s="0" t="n">
        <v>14245</v>
      </c>
      <c r="K5" s="0" t="n">
        <v>4</v>
      </c>
      <c r="L5" s="0" t="n">
        <v>865</v>
      </c>
    </row>
    <row r="6" customFormat="false" ht="15" hidden="false" customHeight="false" outlineLevel="0" collapsed="false">
      <c r="A6" s="0" t="s">
        <v>19</v>
      </c>
      <c r="B6" s="0" t="n">
        <v>2018</v>
      </c>
      <c r="C6" s="0" t="n">
        <v>2</v>
      </c>
      <c r="D6" s="0" t="s">
        <v>15</v>
      </c>
      <c r="E6" s="0" t="s">
        <v>16</v>
      </c>
      <c r="F6" s="0" t="n">
        <v>15052</v>
      </c>
      <c r="G6" s="0" t="n">
        <v>12346</v>
      </c>
      <c r="H6" s="0" t="n">
        <v>12083</v>
      </c>
      <c r="I6" s="0" t="n">
        <v>11441</v>
      </c>
      <c r="J6" s="0" t="n">
        <v>10829</v>
      </c>
      <c r="K6" s="0" t="n">
        <v>2</v>
      </c>
      <c r="L6" s="0" t="n">
        <v>1057</v>
      </c>
    </row>
    <row r="7" customFormat="false" ht="15" hidden="false" customHeight="false" outlineLevel="0" collapsed="false">
      <c r="A7" s="0" t="s">
        <v>19</v>
      </c>
      <c r="B7" s="0" t="n">
        <v>2018</v>
      </c>
      <c r="C7" s="0" t="n">
        <v>2</v>
      </c>
      <c r="D7" s="0" t="s">
        <v>17</v>
      </c>
      <c r="E7" s="0" t="s">
        <v>18</v>
      </c>
      <c r="F7" s="0" t="n">
        <v>11265</v>
      </c>
      <c r="G7" s="0" t="n">
        <v>8427</v>
      </c>
      <c r="H7" s="0" t="n">
        <v>7919</v>
      </c>
      <c r="I7" s="0" t="n">
        <v>7429</v>
      </c>
      <c r="J7" s="0" t="n">
        <v>7090</v>
      </c>
      <c r="K7" s="0" t="n">
        <v>6</v>
      </c>
      <c r="L7" s="0" t="n">
        <v>513</v>
      </c>
    </row>
    <row r="8" customFormat="false" ht="15" hidden="false" customHeight="false" outlineLevel="0" collapsed="false">
      <c r="A8" s="0" t="s">
        <v>20</v>
      </c>
      <c r="B8" s="0" t="n">
        <v>2018</v>
      </c>
      <c r="C8" s="0" t="n">
        <v>3</v>
      </c>
      <c r="D8" s="0" t="s">
        <v>13</v>
      </c>
      <c r="E8" s="0" t="s">
        <v>14</v>
      </c>
      <c r="F8" s="0" t="n">
        <v>17933</v>
      </c>
      <c r="G8" s="0" t="n">
        <v>17031</v>
      </c>
      <c r="H8" s="0" t="n">
        <v>16163</v>
      </c>
      <c r="I8" s="0" t="n">
        <v>15571</v>
      </c>
      <c r="J8" s="0" t="n">
        <v>14836</v>
      </c>
      <c r="K8" s="0" t="n">
        <v>1</v>
      </c>
      <c r="L8" s="0" t="n">
        <v>1367</v>
      </c>
    </row>
    <row r="9" customFormat="false" ht="15" hidden="false" customHeight="false" outlineLevel="0" collapsed="false">
      <c r="A9" s="0" t="s">
        <v>20</v>
      </c>
      <c r="B9" s="0" t="n">
        <v>2018</v>
      </c>
      <c r="C9" s="0" t="n">
        <v>3</v>
      </c>
      <c r="D9" s="0" t="s">
        <v>15</v>
      </c>
      <c r="E9" s="0" t="s">
        <v>16</v>
      </c>
      <c r="F9" s="0" t="n">
        <v>15073</v>
      </c>
      <c r="G9" s="0" t="n">
        <v>13410</v>
      </c>
      <c r="H9" s="0" t="n">
        <v>12930</v>
      </c>
      <c r="I9" s="0" t="n">
        <v>12350</v>
      </c>
      <c r="J9" s="0" t="n">
        <v>11653</v>
      </c>
      <c r="K9" s="0" t="n">
        <v>4</v>
      </c>
      <c r="L9" s="0" t="n">
        <v>689</v>
      </c>
    </row>
    <row r="10" customFormat="false" ht="15" hidden="false" customHeight="false" outlineLevel="0" collapsed="false">
      <c r="A10" s="0" t="s">
        <v>20</v>
      </c>
      <c r="B10" s="0" t="n">
        <v>2018</v>
      </c>
      <c r="C10" s="0" t="n">
        <v>3</v>
      </c>
      <c r="D10" s="0" t="s">
        <v>17</v>
      </c>
      <c r="E10" s="0" t="s">
        <v>18</v>
      </c>
      <c r="F10" s="0" t="n">
        <v>10875</v>
      </c>
      <c r="G10" s="0" t="n">
        <v>8384</v>
      </c>
      <c r="H10" s="0" t="n">
        <v>8186</v>
      </c>
      <c r="I10" s="0" t="n">
        <v>7642</v>
      </c>
      <c r="J10" s="0" t="n">
        <v>7131</v>
      </c>
      <c r="K10" s="0" t="n">
        <v>5</v>
      </c>
      <c r="L10" s="0" t="n">
        <v>1033</v>
      </c>
    </row>
    <row r="11" customFormat="false" ht="15" hidden="false" customHeight="false" outlineLevel="0" collapsed="false">
      <c r="A11" s="0" t="s">
        <v>21</v>
      </c>
      <c r="B11" s="0" t="n">
        <v>2018</v>
      </c>
      <c r="C11" s="0" t="n">
        <v>4</v>
      </c>
      <c r="D11" s="0" t="s">
        <v>13</v>
      </c>
      <c r="E11" s="0" t="s">
        <v>14</v>
      </c>
      <c r="F11" s="0" t="n">
        <v>17924</v>
      </c>
      <c r="G11" s="0" t="n">
        <v>15733</v>
      </c>
      <c r="H11" s="0" t="n">
        <v>14657</v>
      </c>
      <c r="I11" s="0" t="n">
        <v>13653</v>
      </c>
      <c r="J11" s="0" t="n">
        <v>12954</v>
      </c>
      <c r="K11" s="0" t="n">
        <v>1</v>
      </c>
      <c r="L11" s="0" t="n">
        <v>1169</v>
      </c>
    </row>
    <row r="12" customFormat="false" ht="15" hidden="false" customHeight="false" outlineLevel="0" collapsed="false">
      <c r="A12" s="0" t="s">
        <v>21</v>
      </c>
      <c r="B12" s="0" t="n">
        <v>2018</v>
      </c>
      <c r="C12" s="0" t="n">
        <v>4</v>
      </c>
      <c r="D12" s="0" t="s">
        <v>15</v>
      </c>
      <c r="E12" s="0" t="s">
        <v>16</v>
      </c>
      <c r="F12" s="0" t="n">
        <v>14974</v>
      </c>
      <c r="G12" s="0" t="n">
        <v>12504</v>
      </c>
      <c r="H12" s="0" t="n">
        <v>11762</v>
      </c>
      <c r="I12" s="0" t="n">
        <v>11244</v>
      </c>
      <c r="J12" s="0" t="n">
        <v>10551</v>
      </c>
      <c r="K12" s="0" t="n">
        <v>4</v>
      </c>
      <c r="L12" s="0" t="n">
        <v>1196</v>
      </c>
    </row>
    <row r="13" customFormat="false" ht="15" hidden="false" customHeight="false" outlineLevel="0" collapsed="false">
      <c r="A13" s="0" t="s">
        <v>21</v>
      </c>
      <c r="B13" s="0" t="n">
        <v>2018</v>
      </c>
      <c r="C13" s="0" t="n">
        <v>4</v>
      </c>
      <c r="D13" s="0" t="s">
        <v>17</v>
      </c>
      <c r="E13" s="0" t="s">
        <v>18</v>
      </c>
      <c r="F13" s="0" t="n">
        <v>11169</v>
      </c>
      <c r="G13" s="0" t="n">
        <v>7727</v>
      </c>
      <c r="H13" s="0" t="n">
        <v>7475</v>
      </c>
      <c r="I13" s="0" t="n">
        <v>7079</v>
      </c>
      <c r="J13" s="0" t="n">
        <v>6706</v>
      </c>
      <c r="K13" s="0" t="n">
        <v>5</v>
      </c>
      <c r="L13" s="0" t="n">
        <v>829</v>
      </c>
    </row>
    <row r="14" customFormat="false" ht="15" hidden="false" customHeight="false" outlineLevel="0" collapsed="false">
      <c r="A14" s="0" t="s">
        <v>22</v>
      </c>
      <c r="B14" s="0" t="n">
        <v>2019</v>
      </c>
      <c r="C14" s="0" t="n">
        <v>1</v>
      </c>
      <c r="D14" s="0" t="s">
        <v>13</v>
      </c>
      <c r="E14" s="0" t="s">
        <v>14</v>
      </c>
      <c r="F14" s="0" t="n">
        <v>18567</v>
      </c>
      <c r="G14" s="0" t="n">
        <v>15550</v>
      </c>
      <c r="H14" s="0" t="n">
        <v>14533</v>
      </c>
      <c r="I14" s="0" t="n">
        <v>13741</v>
      </c>
      <c r="J14" s="0" t="n">
        <v>13190</v>
      </c>
      <c r="K14" s="0" t="n">
        <v>4</v>
      </c>
      <c r="L14" s="0" t="n">
        <v>812</v>
      </c>
    </row>
    <row r="15" customFormat="false" ht="15" hidden="false" customHeight="false" outlineLevel="0" collapsed="false">
      <c r="A15" s="0" t="s">
        <v>22</v>
      </c>
      <c r="B15" s="0" t="n">
        <v>2019</v>
      </c>
      <c r="C15" s="0" t="n">
        <v>1</v>
      </c>
      <c r="D15" s="0" t="s">
        <v>15</v>
      </c>
      <c r="E15" s="0" t="s">
        <v>16</v>
      </c>
      <c r="F15" s="0" t="n">
        <v>15036</v>
      </c>
      <c r="G15" s="0" t="n">
        <v>11847</v>
      </c>
      <c r="H15" s="0" t="n">
        <v>11246</v>
      </c>
      <c r="I15" s="0" t="n">
        <v>10682</v>
      </c>
      <c r="J15" s="0" t="n">
        <v>10085</v>
      </c>
      <c r="K15" s="0" t="n">
        <v>3</v>
      </c>
      <c r="L15" s="0" t="n">
        <v>1318</v>
      </c>
    </row>
    <row r="16" customFormat="false" ht="15" hidden="false" customHeight="false" outlineLevel="0" collapsed="false">
      <c r="A16" s="0" t="s">
        <v>22</v>
      </c>
      <c r="B16" s="0" t="n">
        <v>2019</v>
      </c>
      <c r="C16" s="0" t="n">
        <v>1</v>
      </c>
      <c r="D16" s="0" t="s">
        <v>17</v>
      </c>
      <c r="E16" s="0" t="s">
        <v>18</v>
      </c>
      <c r="F16" s="0" t="n">
        <v>11343</v>
      </c>
      <c r="G16" s="0" t="n">
        <v>7490</v>
      </c>
      <c r="H16" s="0" t="n">
        <v>7236</v>
      </c>
      <c r="I16" s="0" t="n">
        <v>6662</v>
      </c>
      <c r="J16" s="0" t="n">
        <v>6350</v>
      </c>
      <c r="K16" s="0" t="n">
        <v>4</v>
      </c>
      <c r="L16" s="0" t="n">
        <v>1072</v>
      </c>
    </row>
    <row r="17" customFormat="false" ht="15" hidden="false" customHeight="false" outlineLevel="0" collapsed="false">
      <c r="A17" s="0" t="s">
        <v>23</v>
      </c>
      <c r="B17" s="0" t="n">
        <v>2019</v>
      </c>
      <c r="C17" s="0" t="n">
        <v>2</v>
      </c>
      <c r="D17" s="0" t="s">
        <v>13</v>
      </c>
      <c r="E17" s="0" t="s">
        <v>14</v>
      </c>
      <c r="F17" s="0" t="n">
        <v>18519</v>
      </c>
      <c r="G17" s="0" t="n">
        <v>18855</v>
      </c>
      <c r="H17" s="0" t="n">
        <v>17685</v>
      </c>
      <c r="I17" s="0" t="n">
        <v>16530</v>
      </c>
      <c r="J17" s="0" t="n">
        <v>15324</v>
      </c>
      <c r="K17" s="0" t="n">
        <v>2</v>
      </c>
      <c r="L17" s="0" t="n">
        <v>745</v>
      </c>
    </row>
    <row r="18" customFormat="false" ht="15" hidden="false" customHeight="false" outlineLevel="0" collapsed="false">
      <c r="A18" s="0" t="s">
        <v>23</v>
      </c>
      <c r="B18" s="0" t="n">
        <v>2019</v>
      </c>
      <c r="C18" s="0" t="n">
        <v>2</v>
      </c>
      <c r="D18" s="0" t="s">
        <v>15</v>
      </c>
      <c r="E18" s="0" t="s">
        <v>16</v>
      </c>
      <c r="F18" s="0" t="n">
        <v>15193</v>
      </c>
      <c r="G18" s="0" t="n">
        <v>14426</v>
      </c>
      <c r="H18" s="0" t="n">
        <v>13868</v>
      </c>
      <c r="I18" s="0" t="n">
        <v>12833</v>
      </c>
      <c r="J18" s="0" t="n">
        <v>12004</v>
      </c>
      <c r="K18" s="0" t="n">
        <v>3</v>
      </c>
      <c r="L18" s="0" t="n">
        <v>1630</v>
      </c>
    </row>
    <row r="19" customFormat="false" ht="15" hidden="false" customHeight="false" outlineLevel="0" collapsed="false">
      <c r="A19" s="0" t="s">
        <v>23</v>
      </c>
      <c r="B19" s="0" t="n">
        <v>2019</v>
      </c>
      <c r="C19" s="0" t="n">
        <v>2</v>
      </c>
      <c r="D19" s="0" t="s">
        <v>17</v>
      </c>
      <c r="E19" s="0" t="s">
        <v>18</v>
      </c>
      <c r="F19" s="0" t="n">
        <v>11383</v>
      </c>
      <c r="G19" s="0" t="n">
        <v>8881</v>
      </c>
      <c r="H19" s="0" t="n">
        <v>8606</v>
      </c>
      <c r="I19" s="0" t="n">
        <v>8150</v>
      </c>
      <c r="J19" s="0" t="n">
        <v>7728</v>
      </c>
      <c r="K19" s="0" t="n">
        <v>4</v>
      </c>
      <c r="L19" s="0" t="n">
        <v>938</v>
      </c>
    </row>
    <row r="20" customFormat="false" ht="15" hidden="false" customHeight="false" outlineLevel="0" collapsed="false">
      <c r="A20" s="0" t="s">
        <v>24</v>
      </c>
      <c r="B20" s="0" t="n">
        <v>2019</v>
      </c>
      <c r="C20" s="0" t="n">
        <v>3</v>
      </c>
      <c r="D20" s="0" t="s">
        <v>13</v>
      </c>
      <c r="E20" s="0" t="s">
        <v>14</v>
      </c>
      <c r="F20" s="0" t="n">
        <v>17970</v>
      </c>
      <c r="G20" s="0" t="n">
        <v>18125</v>
      </c>
      <c r="H20" s="0" t="n">
        <v>17750</v>
      </c>
      <c r="I20" s="0" t="n">
        <v>16653</v>
      </c>
      <c r="J20" s="0" t="n">
        <v>15248</v>
      </c>
      <c r="K20" s="0" t="n">
        <v>3</v>
      </c>
      <c r="L20" s="0" t="n">
        <v>1878</v>
      </c>
    </row>
    <row r="21" customFormat="false" ht="15" hidden="false" customHeight="false" outlineLevel="0" collapsed="false">
      <c r="A21" s="0" t="s">
        <v>24</v>
      </c>
      <c r="B21" s="0" t="n">
        <v>2019</v>
      </c>
      <c r="C21" s="0" t="n">
        <v>3</v>
      </c>
      <c r="D21" s="0" t="s">
        <v>15</v>
      </c>
      <c r="E21" s="0" t="s">
        <v>16</v>
      </c>
      <c r="F21" s="0" t="n">
        <v>15169</v>
      </c>
      <c r="G21" s="0" t="n">
        <v>14800</v>
      </c>
      <c r="H21" s="0" t="n">
        <v>14124</v>
      </c>
      <c r="I21" s="0" t="n">
        <v>13055</v>
      </c>
      <c r="J21" s="0" t="n">
        <v>12499</v>
      </c>
      <c r="K21" s="0" t="n">
        <v>4</v>
      </c>
      <c r="L21" s="0" t="n">
        <v>690</v>
      </c>
    </row>
    <row r="22" customFormat="false" ht="15" hidden="false" customHeight="false" outlineLevel="0" collapsed="false">
      <c r="A22" s="0" t="s">
        <v>24</v>
      </c>
      <c r="B22" s="0" t="n">
        <v>2019</v>
      </c>
      <c r="C22" s="0" t="n">
        <v>3</v>
      </c>
      <c r="D22" s="0" t="s">
        <v>17</v>
      </c>
      <c r="E22" s="0" t="s">
        <v>18</v>
      </c>
      <c r="F22" s="0" t="n">
        <v>11409</v>
      </c>
      <c r="G22" s="0" t="n">
        <v>9810</v>
      </c>
      <c r="H22" s="0" t="n">
        <v>9254</v>
      </c>
      <c r="I22" s="0" t="n">
        <v>8769</v>
      </c>
      <c r="J22" s="0" t="n">
        <v>8189</v>
      </c>
      <c r="K22" s="0" t="n">
        <v>4</v>
      </c>
      <c r="L22" s="0" t="n">
        <v>1252</v>
      </c>
    </row>
    <row r="23" customFormat="false" ht="15" hidden="false" customHeight="false" outlineLevel="0" collapsed="false">
      <c r="A23" s="0" t="s">
        <v>25</v>
      </c>
      <c r="B23" s="0" t="n">
        <v>2019</v>
      </c>
      <c r="C23" s="0" t="n">
        <v>4</v>
      </c>
      <c r="D23" s="0" t="s">
        <v>13</v>
      </c>
      <c r="E23" s="0" t="s">
        <v>14</v>
      </c>
      <c r="F23" s="0" t="n">
        <v>18403</v>
      </c>
      <c r="G23" s="0" t="n">
        <v>16667</v>
      </c>
      <c r="H23" s="0" t="n">
        <v>16095</v>
      </c>
      <c r="I23" s="0" t="n">
        <v>15363</v>
      </c>
      <c r="J23" s="0" t="n">
        <v>14561</v>
      </c>
      <c r="K23" s="0" t="n">
        <v>3</v>
      </c>
      <c r="L23" s="0" t="n">
        <v>1323</v>
      </c>
    </row>
    <row r="24" customFormat="false" ht="15" hidden="false" customHeight="false" outlineLevel="0" collapsed="false">
      <c r="A24" s="0" t="s">
        <v>25</v>
      </c>
      <c r="B24" s="0" t="n">
        <v>2019</v>
      </c>
      <c r="C24" s="0" t="n">
        <v>4</v>
      </c>
      <c r="D24" s="0" t="s">
        <v>15</v>
      </c>
      <c r="E24" s="0" t="s">
        <v>16</v>
      </c>
      <c r="F24" s="0" t="n">
        <v>15306</v>
      </c>
      <c r="G24" s="0" t="n">
        <v>13213</v>
      </c>
      <c r="H24" s="0" t="n">
        <v>12512</v>
      </c>
      <c r="I24" s="0" t="n">
        <v>11652</v>
      </c>
      <c r="J24" s="0" t="n">
        <v>10674</v>
      </c>
      <c r="K24" s="0" t="n">
        <v>3</v>
      </c>
      <c r="L24" s="0" t="n">
        <v>1332</v>
      </c>
    </row>
    <row r="25" customFormat="false" ht="15" hidden="false" customHeight="false" outlineLevel="0" collapsed="false">
      <c r="A25" s="0" t="s">
        <v>25</v>
      </c>
      <c r="B25" s="0" t="n">
        <v>2019</v>
      </c>
      <c r="C25" s="0" t="n">
        <v>4</v>
      </c>
      <c r="D25" s="0" t="s">
        <v>17</v>
      </c>
      <c r="E25" s="0" t="s">
        <v>18</v>
      </c>
      <c r="F25" s="0" t="n">
        <v>11099</v>
      </c>
      <c r="G25" s="0" t="n">
        <v>8733</v>
      </c>
      <c r="H25" s="0" t="n">
        <v>8152</v>
      </c>
      <c r="I25" s="0" t="n">
        <v>7524</v>
      </c>
      <c r="J25" s="0" t="n">
        <v>7114</v>
      </c>
      <c r="K25" s="0" t="n">
        <v>4</v>
      </c>
      <c r="L25" s="0" t="n">
        <v>471</v>
      </c>
    </row>
    <row r="26" customFormat="false" ht="15" hidden="false" customHeight="false" outlineLevel="0" collapsed="false">
      <c r="A26" s="0" t="s">
        <v>26</v>
      </c>
      <c r="B26" s="0" t="n">
        <v>2020</v>
      </c>
      <c r="C26" s="0" t="n">
        <v>1</v>
      </c>
      <c r="D26" s="0" t="s">
        <v>13</v>
      </c>
      <c r="E26" s="0" t="s">
        <v>14</v>
      </c>
      <c r="F26" s="0" t="n">
        <v>18578</v>
      </c>
      <c r="G26" s="0" t="n">
        <v>17102</v>
      </c>
      <c r="H26" s="0" t="n">
        <v>16018</v>
      </c>
      <c r="I26" s="0" t="n">
        <v>14909</v>
      </c>
      <c r="J26" s="0" t="n">
        <v>14066</v>
      </c>
      <c r="K26" s="0" t="n">
        <v>4</v>
      </c>
      <c r="L26" s="0" t="n">
        <v>2133</v>
      </c>
    </row>
    <row r="27" customFormat="false" ht="15" hidden="false" customHeight="false" outlineLevel="0" collapsed="false">
      <c r="A27" s="0" t="s">
        <v>26</v>
      </c>
      <c r="B27" s="0" t="n">
        <v>2020</v>
      </c>
      <c r="C27" s="0" t="n">
        <v>1</v>
      </c>
      <c r="D27" s="0" t="s">
        <v>15</v>
      </c>
      <c r="E27" s="0" t="s">
        <v>16</v>
      </c>
      <c r="F27" s="0" t="n">
        <v>15734</v>
      </c>
      <c r="G27" s="0" t="n">
        <v>13175</v>
      </c>
      <c r="H27" s="0" t="n">
        <v>12315</v>
      </c>
      <c r="I27" s="0" t="n">
        <v>11581</v>
      </c>
      <c r="J27" s="0" t="n">
        <v>10813</v>
      </c>
      <c r="K27" s="0" t="n">
        <v>2</v>
      </c>
      <c r="L27" s="0" t="n">
        <v>1458</v>
      </c>
    </row>
    <row r="28" customFormat="false" ht="15" hidden="false" customHeight="false" outlineLevel="0" collapsed="false">
      <c r="A28" s="0" t="s">
        <v>26</v>
      </c>
      <c r="B28" s="0" t="n">
        <v>2020</v>
      </c>
      <c r="C28" s="0" t="n">
        <v>1</v>
      </c>
      <c r="D28" s="0" t="s">
        <v>17</v>
      </c>
      <c r="E28" s="0" t="s">
        <v>18</v>
      </c>
      <c r="F28" s="0" t="n">
        <v>11392</v>
      </c>
      <c r="G28" s="0" t="n">
        <v>8014</v>
      </c>
      <c r="H28" s="0" t="n">
        <v>7848</v>
      </c>
      <c r="I28" s="0" t="n">
        <v>7485</v>
      </c>
      <c r="J28" s="0" t="n">
        <v>7085</v>
      </c>
      <c r="K28" s="0" t="n">
        <v>5</v>
      </c>
      <c r="L28" s="0" t="n">
        <v>545</v>
      </c>
    </row>
    <row r="29" customFormat="false" ht="15" hidden="false" customHeight="false" outlineLevel="0" collapsed="false">
      <c r="A29" s="0" t="s">
        <v>27</v>
      </c>
      <c r="B29" s="0" t="n">
        <v>2020</v>
      </c>
      <c r="C29" s="0" t="n">
        <v>2</v>
      </c>
      <c r="D29" s="0" t="s">
        <v>13</v>
      </c>
      <c r="E29" s="0" t="s">
        <v>14</v>
      </c>
      <c r="F29" s="0" t="n">
        <v>18652</v>
      </c>
      <c r="G29" s="0" t="n">
        <v>19746</v>
      </c>
      <c r="H29" s="0" t="n">
        <v>18894</v>
      </c>
      <c r="I29" s="0" t="n">
        <v>17564</v>
      </c>
      <c r="J29" s="0" t="n">
        <v>16080</v>
      </c>
      <c r="K29" s="0" t="n">
        <v>2</v>
      </c>
      <c r="L29" s="0" t="n">
        <v>955</v>
      </c>
    </row>
    <row r="30" customFormat="false" ht="15" hidden="false" customHeight="false" outlineLevel="0" collapsed="false">
      <c r="A30" s="0" t="s">
        <v>27</v>
      </c>
      <c r="B30" s="0" t="n">
        <v>2020</v>
      </c>
      <c r="C30" s="0" t="n">
        <v>2</v>
      </c>
      <c r="D30" s="0" t="s">
        <v>15</v>
      </c>
      <c r="E30" s="0" t="s">
        <v>16</v>
      </c>
      <c r="F30" s="0" t="n">
        <v>15337</v>
      </c>
      <c r="G30" s="0" t="n">
        <v>13976</v>
      </c>
      <c r="H30" s="0" t="n">
        <v>13600</v>
      </c>
      <c r="I30" s="0" t="n">
        <v>12814</v>
      </c>
      <c r="J30" s="0" t="n">
        <v>12253</v>
      </c>
      <c r="K30" s="0" t="n">
        <v>4</v>
      </c>
      <c r="L30" s="0" t="n">
        <v>1288</v>
      </c>
    </row>
    <row r="31" customFormat="false" ht="15" hidden="false" customHeight="false" outlineLevel="0" collapsed="false">
      <c r="A31" s="0" t="s">
        <v>27</v>
      </c>
      <c r="B31" s="0" t="n">
        <v>2020</v>
      </c>
      <c r="C31" s="0" t="n">
        <v>2</v>
      </c>
      <c r="D31" s="0" t="s">
        <v>17</v>
      </c>
      <c r="E31" s="0" t="s">
        <v>18</v>
      </c>
      <c r="F31" s="0" t="n">
        <v>11081</v>
      </c>
      <c r="G31" s="0" t="n">
        <v>9870</v>
      </c>
      <c r="H31" s="0" t="n">
        <v>9551</v>
      </c>
      <c r="I31" s="0" t="n">
        <v>8832</v>
      </c>
      <c r="J31" s="0" t="n">
        <v>8044</v>
      </c>
      <c r="K31" s="0" t="n">
        <v>4</v>
      </c>
      <c r="L31" s="0" t="n">
        <v>652</v>
      </c>
    </row>
    <row r="32" customFormat="false" ht="15" hidden="false" customHeight="false" outlineLevel="0" collapsed="false">
      <c r="A32" s="0" t="s">
        <v>28</v>
      </c>
      <c r="B32" s="0" t="n">
        <v>2020</v>
      </c>
      <c r="C32" s="0" t="n">
        <v>3</v>
      </c>
      <c r="D32" s="0" t="s">
        <v>13</v>
      </c>
      <c r="E32" s="0" t="s">
        <v>14</v>
      </c>
      <c r="F32" s="0" t="n">
        <v>18656</v>
      </c>
      <c r="G32" s="0" t="n">
        <v>20397</v>
      </c>
      <c r="H32" s="0" t="n">
        <v>19356</v>
      </c>
      <c r="I32" s="0" t="n">
        <v>17865</v>
      </c>
      <c r="J32" s="0" t="n">
        <v>16616</v>
      </c>
      <c r="K32" s="0" t="n">
        <v>4</v>
      </c>
      <c r="L32" s="0" t="n">
        <v>2216</v>
      </c>
    </row>
    <row r="33" customFormat="false" ht="15" hidden="false" customHeight="false" outlineLevel="0" collapsed="false">
      <c r="A33" s="0" t="s">
        <v>28</v>
      </c>
      <c r="B33" s="0" t="n">
        <v>2020</v>
      </c>
      <c r="C33" s="0" t="n">
        <v>3</v>
      </c>
      <c r="D33" s="0" t="s">
        <v>15</v>
      </c>
      <c r="E33" s="0" t="s">
        <v>16</v>
      </c>
      <c r="F33" s="0" t="n">
        <v>15421</v>
      </c>
      <c r="G33" s="0" t="n">
        <v>15400</v>
      </c>
      <c r="H33" s="0" t="n">
        <v>14885</v>
      </c>
      <c r="I33" s="0" t="n">
        <v>14213</v>
      </c>
      <c r="J33" s="0" t="n">
        <v>13137</v>
      </c>
      <c r="K33" s="0" t="n">
        <v>2</v>
      </c>
      <c r="L33" s="0" t="n">
        <v>1583</v>
      </c>
    </row>
    <row r="34" customFormat="false" ht="15" hidden="false" customHeight="false" outlineLevel="0" collapsed="false">
      <c r="A34" s="0" t="s">
        <v>28</v>
      </c>
      <c r="B34" s="0" t="n">
        <v>2020</v>
      </c>
      <c r="C34" s="0" t="n">
        <v>3</v>
      </c>
      <c r="D34" s="0" t="s">
        <v>17</v>
      </c>
      <c r="E34" s="0" t="s">
        <v>18</v>
      </c>
      <c r="F34" s="0" t="n">
        <v>11528</v>
      </c>
      <c r="G34" s="0" t="n">
        <v>10263</v>
      </c>
      <c r="H34" s="0" t="n">
        <v>9823</v>
      </c>
      <c r="I34" s="0" t="n">
        <v>9322</v>
      </c>
      <c r="J34" s="0" t="n">
        <v>8935</v>
      </c>
      <c r="K34" s="0" t="n">
        <v>6</v>
      </c>
      <c r="L34" s="0" t="n">
        <v>1150</v>
      </c>
    </row>
    <row r="35" customFormat="false" ht="15" hidden="false" customHeight="false" outlineLevel="0" collapsed="false">
      <c r="A35" s="0" t="s">
        <v>29</v>
      </c>
      <c r="B35" s="0" t="n">
        <v>2020</v>
      </c>
      <c r="C35" s="0" t="n">
        <v>4</v>
      </c>
      <c r="D35" s="0" t="s">
        <v>13</v>
      </c>
      <c r="E35" s="0" t="s">
        <v>14</v>
      </c>
      <c r="F35" s="0" t="n">
        <v>18298</v>
      </c>
      <c r="G35" s="0" t="n">
        <v>17605</v>
      </c>
      <c r="H35" s="0" t="n">
        <v>16423</v>
      </c>
      <c r="I35" s="0" t="n">
        <v>15546</v>
      </c>
      <c r="J35" s="0" t="n">
        <v>14862</v>
      </c>
      <c r="K35" s="0" t="n">
        <v>4</v>
      </c>
      <c r="L35" s="0" t="n">
        <v>1475</v>
      </c>
    </row>
    <row r="36" customFormat="false" ht="15" hidden="false" customHeight="false" outlineLevel="0" collapsed="false">
      <c r="A36" s="0" t="s">
        <v>29</v>
      </c>
      <c r="B36" s="0" t="n">
        <v>2020</v>
      </c>
      <c r="C36" s="0" t="n">
        <v>4</v>
      </c>
      <c r="D36" s="0" t="s">
        <v>15</v>
      </c>
      <c r="E36" s="0" t="s">
        <v>16</v>
      </c>
      <c r="F36" s="0" t="n">
        <v>15340</v>
      </c>
      <c r="G36" s="0" t="n">
        <v>13008</v>
      </c>
      <c r="H36" s="0" t="n">
        <v>12710</v>
      </c>
      <c r="I36" s="0" t="n">
        <v>11950</v>
      </c>
      <c r="J36" s="0" t="n">
        <v>11390</v>
      </c>
      <c r="K36" s="0" t="n">
        <v>3</v>
      </c>
      <c r="L36" s="0" t="n">
        <v>1312</v>
      </c>
    </row>
    <row r="37" customFormat="false" ht="15" hidden="false" customHeight="false" outlineLevel="0" collapsed="false">
      <c r="A37" s="0" t="s">
        <v>29</v>
      </c>
      <c r="B37" s="0" t="n">
        <v>2020</v>
      </c>
      <c r="C37" s="0" t="n">
        <v>4</v>
      </c>
      <c r="D37" s="0" t="s">
        <v>17</v>
      </c>
      <c r="E37" s="0" t="s">
        <v>18</v>
      </c>
      <c r="F37" s="0" t="n">
        <v>11622</v>
      </c>
      <c r="G37" s="0" t="n">
        <v>9277</v>
      </c>
      <c r="H37" s="0" t="n">
        <v>8871</v>
      </c>
      <c r="I37" s="0" t="n">
        <v>8421</v>
      </c>
      <c r="J37" s="0" t="n">
        <v>7840</v>
      </c>
      <c r="K37" s="0" t="n">
        <v>3</v>
      </c>
      <c r="L37" s="0" t="n">
        <v>1333</v>
      </c>
    </row>
    <row r="38" customFormat="false" ht="15" hidden="false" customHeight="false" outlineLevel="0" collapsed="false">
      <c r="A38" s="0" t="s">
        <v>30</v>
      </c>
      <c r="B38" s="0" t="n">
        <v>2021</v>
      </c>
      <c r="C38" s="0" t="n">
        <v>1</v>
      </c>
      <c r="D38" s="0" t="s">
        <v>13</v>
      </c>
      <c r="E38" s="0" t="s">
        <v>14</v>
      </c>
      <c r="F38" s="0" t="n">
        <v>18719</v>
      </c>
      <c r="G38" s="0" t="n">
        <v>17695</v>
      </c>
      <c r="H38" s="0" t="n">
        <v>17028</v>
      </c>
      <c r="I38" s="0" t="n">
        <v>15778</v>
      </c>
      <c r="J38" s="0" t="n">
        <v>14568</v>
      </c>
      <c r="K38" s="0" t="n">
        <v>2</v>
      </c>
      <c r="L38" s="0" t="n">
        <v>1433</v>
      </c>
    </row>
    <row r="39" customFormat="false" ht="15" hidden="false" customHeight="false" outlineLevel="0" collapsed="false">
      <c r="A39" s="0" t="s">
        <v>30</v>
      </c>
      <c r="B39" s="0" t="n">
        <v>2021</v>
      </c>
      <c r="C39" s="0" t="n">
        <v>1</v>
      </c>
      <c r="D39" s="0" t="s">
        <v>15</v>
      </c>
      <c r="E39" s="0" t="s">
        <v>16</v>
      </c>
      <c r="F39" s="0" t="n">
        <v>15448</v>
      </c>
      <c r="G39" s="0" t="n">
        <v>13719</v>
      </c>
      <c r="H39" s="0" t="n">
        <v>13128</v>
      </c>
      <c r="I39" s="0" t="n">
        <v>12144</v>
      </c>
      <c r="J39" s="0" t="n">
        <v>11393</v>
      </c>
      <c r="K39" s="0" t="n">
        <v>3</v>
      </c>
      <c r="L39" s="0" t="n">
        <v>1243</v>
      </c>
    </row>
    <row r="40" customFormat="false" ht="15" hidden="false" customHeight="false" outlineLevel="0" collapsed="false">
      <c r="A40" s="0" t="s">
        <v>30</v>
      </c>
      <c r="B40" s="0" t="n">
        <v>2021</v>
      </c>
      <c r="C40" s="0" t="n">
        <v>1</v>
      </c>
      <c r="D40" s="0" t="s">
        <v>17</v>
      </c>
      <c r="E40" s="0" t="s">
        <v>18</v>
      </c>
      <c r="F40" s="0" t="n">
        <v>11330</v>
      </c>
      <c r="G40" s="0" t="n">
        <v>9415</v>
      </c>
      <c r="H40" s="0" t="n">
        <v>8831</v>
      </c>
      <c r="I40" s="0" t="n">
        <v>8288</v>
      </c>
      <c r="J40" s="0" t="n">
        <v>7907</v>
      </c>
      <c r="K40" s="0" t="n">
        <v>3</v>
      </c>
      <c r="L40" s="0" t="n">
        <v>1208</v>
      </c>
    </row>
    <row r="41" customFormat="false" ht="15" hidden="false" customHeight="false" outlineLevel="0" collapsed="false">
      <c r="A41" s="0" t="s">
        <v>31</v>
      </c>
      <c r="B41" s="0" t="n">
        <v>2021</v>
      </c>
      <c r="C41" s="0" t="n">
        <v>2</v>
      </c>
      <c r="D41" s="0" t="s">
        <v>13</v>
      </c>
      <c r="E41" s="0" t="s">
        <v>14</v>
      </c>
      <c r="F41" s="0" t="n">
        <v>18819</v>
      </c>
      <c r="G41" s="0" t="n">
        <v>19537</v>
      </c>
      <c r="H41" s="0" t="n">
        <v>18968</v>
      </c>
      <c r="I41" s="0" t="n">
        <v>17458</v>
      </c>
      <c r="J41" s="0" t="n">
        <v>16458</v>
      </c>
      <c r="K41" s="0" t="n">
        <v>2</v>
      </c>
      <c r="L41" s="0" t="n">
        <v>1203</v>
      </c>
    </row>
    <row r="42" customFormat="false" ht="15" hidden="false" customHeight="false" outlineLevel="0" collapsed="false">
      <c r="A42" s="0" t="s">
        <v>31</v>
      </c>
      <c r="B42" s="0" t="n">
        <v>2021</v>
      </c>
      <c r="C42" s="0" t="n">
        <v>2</v>
      </c>
      <c r="D42" s="0" t="s">
        <v>15</v>
      </c>
      <c r="E42" s="0" t="s">
        <v>16</v>
      </c>
      <c r="F42" s="0" t="n">
        <v>15480</v>
      </c>
      <c r="G42" s="0" t="n">
        <v>15991</v>
      </c>
      <c r="H42" s="0" t="n">
        <v>15314</v>
      </c>
      <c r="I42" s="0" t="n">
        <v>14171</v>
      </c>
      <c r="J42" s="0" t="n">
        <v>12978</v>
      </c>
      <c r="K42" s="0" t="n">
        <v>3</v>
      </c>
      <c r="L42" s="0" t="n">
        <v>956</v>
      </c>
    </row>
    <row r="43" customFormat="false" ht="15" hidden="false" customHeight="false" outlineLevel="0" collapsed="false">
      <c r="A43" s="0" t="s">
        <v>31</v>
      </c>
      <c r="B43" s="0" t="n">
        <v>2021</v>
      </c>
      <c r="C43" s="0" t="n">
        <v>2</v>
      </c>
      <c r="D43" s="0" t="s">
        <v>17</v>
      </c>
      <c r="E43" s="0" t="s">
        <v>18</v>
      </c>
      <c r="F43" s="0" t="n">
        <v>11410</v>
      </c>
      <c r="G43" s="0" t="n">
        <v>10658</v>
      </c>
      <c r="H43" s="0" t="n">
        <v>10173</v>
      </c>
      <c r="I43" s="0" t="n">
        <v>9494</v>
      </c>
      <c r="J43" s="0" t="n">
        <v>8941</v>
      </c>
      <c r="K43" s="0" t="n">
        <v>4</v>
      </c>
      <c r="L43" s="0" t="n">
        <v>1282</v>
      </c>
    </row>
    <row r="44" customFormat="false" ht="15" hidden="false" customHeight="false" outlineLevel="0" collapsed="false">
      <c r="A44" s="0" t="s">
        <v>32</v>
      </c>
      <c r="B44" s="0" t="n">
        <v>2021</v>
      </c>
      <c r="C44" s="0" t="n">
        <v>3</v>
      </c>
      <c r="D44" s="0" t="s">
        <v>13</v>
      </c>
      <c r="E44" s="0" t="s">
        <v>14</v>
      </c>
      <c r="F44" s="0" t="n">
        <v>18562</v>
      </c>
      <c r="G44" s="0" t="n">
        <v>21413</v>
      </c>
      <c r="H44" s="0" t="n">
        <v>20740</v>
      </c>
      <c r="I44" s="0" t="n">
        <v>19085</v>
      </c>
      <c r="J44" s="0" t="n">
        <v>17632</v>
      </c>
      <c r="K44" s="0" t="n">
        <v>5</v>
      </c>
      <c r="L44" s="0" t="n">
        <v>1688</v>
      </c>
    </row>
    <row r="45" customFormat="false" ht="15" hidden="false" customHeight="false" outlineLevel="0" collapsed="false">
      <c r="A45" s="0" t="s">
        <v>32</v>
      </c>
      <c r="B45" s="0" t="n">
        <v>2021</v>
      </c>
      <c r="C45" s="0" t="n">
        <v>3</v>
      </c>
      <c r="D45" s="0" t="s">
        <v>15</v>
      </c>
      <c r="E45" s="0" t="s">
        <v>16</v>
      </c>
      <c r="F45" s="0" t="n">
        <v>15642</v>
      </c>
      <c r="G45" s="0" t="n">
        <v>16254</v>
      </c>
      <c r="H45" s="0" t="n">
        <v>15208</v>
      </c>
      <c r="I45" s="0" t="n">
        <v>14418</v>
      </c>
      <c r="J45" s="0" t="n">
        <v>13630</v>
      </c>
      <c r="K45" s="0" t="n">
        <v>4</v>
      </c>
      <c r="L45" s="0" t="n">
        <v>1808</v>
      </c>
    </row>
    <row r="46" customFormat="false" ht="15" hidden="false" customHeight="false" outlineLevel="0" collapsed="false">
      <c r="A46" s="0" t="s">
        <v>32</v>
      </c>
      <c r="B46" s="0" t="n">
        <v>2021</v>
      </c>
      <c r="C46" s="0" t="n">
        <v>3</v>
      </c>
      <c r="D46" s="0" t="s">
        <v>17</v>
      </c>
      <c r="E46" s="0" t="s">
        <v>18</v>
      </c>
      <c r="F46" s="0" t="n">
        <v>11347</v>
      </c>
      <c r="G46" s="0" t="n">
        <v>11090</v>
      </c>
      <c r="H46" s="0" t="n">
        <v>10385</v>
      </c>
      <c r="I46" s="0" t="n">
        <v>9632</v>
      </c>
      <c r="J46" s="0" t="n">
        <v>9046</v>
      </c>
      <c r="K46" s="0" t="n">
        <v>4</v>
      </c>
      <c r="L46" s="0" t="n">
        <v>733</v>
      </c>
    </row>
    <row r="47" customFormat="false" ht="15" hidden="false" customHeight="false" outlineLevel="0" collapsed="false">
      <c r="A47" s="0" t="s">
        <v>33</v>
      </c>
      <c r="B47" s="0" t="n">
        <v>2021</v>
      </c>
      <c r="C47" s="0" t="n">
        <v>4</v>
      </c>
      <c r="D47" s="0" t="s">
        <v>13</v>
      </c>
      <c r="E47" s="0" t="s">
        <v>14</v>
      </c>
      <c r="F47" s="0" t="n">
        <v>18550</v>
      </c>
      <c r="G47" s="0" t="n">
        <v>18850</v>
      </c>
      <c r="H47" s="0" t="n">
        <v>18266</v>
      </c>
      <c r="I47" s="0" t="n">
        <v>16899</v>
      </c>
      <c r="J47" s="0" t="n">
        <v>15589</v>
      </c>
      <c r="K47" s="0" t="n">
        <v>3</v>
      </c>
      <c r="L47" s="0" t="n">
        <v>2054</v>
      </c>
    </row>
    <row r="48" customFormat="false" ht="15" hidden="false" customHeight="false" outlineLevel="0" collapsed="false">
      <c r="A48" s="0" t="s">
        <v>33</v>
      </c>
      <c r="B48" s="0" t="n">
        <v>2021</v>
      </c>
      <c r="C48" s="0" t="n">
        <v>4</v>
      </c>
      <c r="D48" s="0" t="s">
        <v>15</v>
      </c>
      <c r="E48" s="0" t="s">
        <v>16</v>
      </c>
      <c r="F48" s="0" t="n">
        <v>15790</v>
      </c>
      <c r="G48" s="0" t="n">
        <v>14842</v>
      </c>
      <c r="H48" s="0" t="n">
        <v>13924</v>
      </c>
      <c r="I48" s="0" t="n">
        <v>12975</v>
      </c>
      <c r="J48" s="0" t="n">
        <v>12408</v>
      </c>
      <c r="K48" s="0" t="n">
        <v>2</v>
      </c>
      <c r="L48" s="0" t="n">
        <v>1642</v>
      </c>
    </row>
    <row r="49" customFormat="false" ht="15" hidden="false" customHeight="false" outlineLevel="0" collapsed="false">
      <c r="A49" s="0" t="s">
        <v>33</v>
      </c>
      <c r="B49" s="0" t="n">
        <v>2021</v>
      </c>
      <c r="C49" s="0" t="n">
        <v>4</v>
      </c>
      <c r="D49" s="0" t="s">
        <v>17</v>
      </c>
      <c r="E49" s="0" t="s">
        <v>18</v>
      </c>
      <c r="F49" s="0" t="n">
        <v>11376</v>
      </c>
      <c r="G49" s="0" t="n">
        <v>9656</v>
      </c>
      <c r="H49" s="0" t="n">
        <v>9430</v>
      </c>
      <c r="I49" s="0" t="n">
        <v>8833</v>
      </c>
      <c r="J49" s="0" t="n">
        <v>8364</v>
      </c>
      <c r="K49" s="0" t="n">
        <v>4</v>
      </c>
      <c r="L49" s="0" t="n">
        <v>1185</v>
      </c>
    </row>
    <row r="50" customFormat="false" ht="15" hidden="false" customHeight="false" outlineLevel="0" collapsed="false">
      <c r="A50" s="0" t="s">
        <v>34</v>
      </c>
      <c r="B50" s="0" t="n">
        <v>2022</v>
      </c>
      <c r="C50" s="0" t="n">
        <v>1</v>
      </c>
      <c r="D50" s="0" t="s">
        <v>13</v>
      </c>
      <c r="E50" s="0" t="s">
        <v>14</v>
      </c>
      <c r="F50" s="0" t="n">
        <v>19034</v>
      </c>
      <c r="G50" s="0" t="n">
        <v>18051</v>
      </c>
      <c r="H50" s="0" t="n">
        <v>17563</v>
      </c>
      <c r="I50" s="0" t="n">
        <v>16924</v>
      </c>
      <c r="J50" s="0" t="n">
        <v>15493</v>
      </c>
      <c r="K50" s="0" t="n">
        <v>5</v>
      </c>
      <c r="L50" s="0" t="n">
        <v>1100</v>
      </c>
    </row>
    <row r="51" customFormat="false" ht="15" hidden="false" customHeight="false" outlineLevel="0" collapsed="false">
      <c r="A51" s="0" t="s">
        <v>34</v>
      </c>
      <c r="B51" s="0" t="n">
        <v>2022</v>
      </c>
      <c r="C51" s="0" t="n">
        <v>1</v>
      </c>
      <c r="D51" s="0" t="s">
        <v>15</v>
      </c>
      <c r="E51" s="0" t="s">
        <v>16</v>
      </c>
      <c r="F51" s="0" t="n">
        <v>16071</v>
      </c>
      <c r="G51" s="0" t="n">
        <v>13866</v>
      </c>
      <c r="H51" s="0" t="n">
        <v>13353</v>
      </c>
      <c r="I51" s="0" t="n">
        <v>12434</v>
      </c>
      <c r="J51" s="0" t="n">
        <v>11857</v>
      </c>
      <c r="K51" s="0" t="n">
        <v>5</v>
      </c>
      <c r="L51" s="0" t="n">
        <v>1155</v>
      </c>
    </row>
    <row r="52" customFormat="false" ht="15" hidden="false" customHeight="false" outlineLevel="0" collapsed="false">
      <c r="A52" s="0" t="s">
        <v>34</v>
      </c>
      <c r="B52" s="0" t="n">
        <v>2022</v>
      </c>
      <c r="C52" s="0" t="n">
        <v>1</v>
      </c>
      <c r="D52" s="0" t="s">
        <v>17</v>
      </c>
      <c r="E52" s="0" t="s">
        <v>18</v>
      </c>
      <c r="F52" s="0" t="n">
        <v>11645</v>
      </c>
      <c r="G52" s="0" t="n">
        <v>10313</v>
      </c>
      <c r="H52" s="0" t="n">
        <v>9798</v>
      </c>
      <c r="I52" s="0" t="n">
        <v>9329</v>
      </c>
      <c r="J52" s="0" t="n">
        <v>8620</v>
      </c>
      <c r="K52" s="0" t="n">
        <v>2</v>
      </c>
      <c r="L52" s="0" t="n">
        <v>1379</v>
      </c>
    </row>
    <row r="53" customFormat="false" ht="15" hidden="false" customHeight="false" outlineLevel="0" collapsed="false">
      <c r="A53" s="0" t="s">
        <v>35</v>
      </c>
      <c r="B53" s="0" t="n">
        <v>2022</v>
      </c>
      <c r="C53" s="0" t="n">
        <v>2</v>
      </c>
      <c r="D53" s="0" t="s">
        <v>13</v>
      </c>
      <c r="E53" s="0" t="s">
        <v>14</v>
      </c>
      <c r="F53" s="0" t="n">
        <v>19329</v>
      </c>
      <c r="G53" s="0" t="n">
        <v>21270</v>
      </c>
      <c r="H53" s="0" t="n">
        <v>20399</v>
      </c>
      <c r="I53" s="0" t="n">
        <v>19034</v>
      </c>
      <c r="J53" s="0" t="n">
        <v>18156</v>
      </c>
      <c r="K53" s="0" t="n">
        <v>4</v>
      </c>
      <c r="L53" s="0" t="n">
        <v>2294</v>
      </c>
    </row>
    <row r="54" customFormat="false" ht="15" hidden="false" customHeight="false" outlineLevel="0" collapsed="false">
      <c r="A54" s="0" t="s">
        <v>35</v>
      </c>
      <c r="B54" s="0" t="n">
        <v>2022</v>
      </c>
      <c r="C54" s="0" t="n">
        <v>2</v>
      </c>
      <c r="D54" s="0" t="s">
        <v>15</v>
      </c>
      <c r="E54" s="0" t="s">
        <v>16</v>
      </c>
      <c r="F54" s="0" t="n">
        <v>15639</v>
      </c>
      <c r="G54" s="0" t="n">
        <v>16071</v>
      </c>
      <c r="H54" s="0" t="n">
        <v>15434</v>
      </c>
      <c r="I54" s="0" t="n">
        <v>14442</v>
      </c>
      <c r="J54" s="0" t="n">
        <v>13669</v>
      </c>
      <c r="K54" s="0" t="n">
        <v>4</v>
      </c>
      <c r="L54" s="0" t="n">
        <v>1265</v>
      </c>
    </row>
    <row r="55" customFormat="false" ht="15" hidden="false" customHeight="false" outlineLevel="0" collapsed="false">
      <c r="A55" s="0" t="s">
        <v>35</v>
      </c>
      <c r="B55" s="0" t="n">
        <v>2022</v>
      </c>
      <c r="C55" s="0" t="n">
        <v>2</v>
      </c>
      <c r="D55" s="0" t="s">
        <v>17</v>
      </c>
      <c r="E55" s="0" t="s">
        <v>18</v>
      </c>
      <c r="F55" s="0" t="n">
        <v>11754</v>
      </c>
      <c r="G55" s="0" t="n">
        <v>12053</v>
      </c>
      <c r="H55" s="0" t="n">
        <v>11523</v>
      </c>
      <c r="I55" s="0" t="n">
        <v>10853</v>
      </c>
      <c r="J55" s="0" t="n">
        <v>9901</v>
      </c>
      <c r="K55" s="0" t="n">
        <v>4</v>
      </c>
      <c r="L55" s="0" t="n">
        <v>1228</v>
      </c>
    </row>
    <row r="56" customFormat="false" ht="15" hidden="false" customHeight="false" outlineLevel="0" collapsed="false">
      <c r="A56" s="0" t="s">
        <v>36</v>
      </c>
      <c r="B56" s="0" t="n">
        <v>2022</v>
      </c>
      <c r="C56" s="0" t="n">
        <v>3</v>
      </c>
      <c r="D56" s="0" t="s">
        <v>13</v>
      </c>
      <c r="E56" s="0" t="s">
        <v>14</v>
      </c>
      <c r="F56" s="0" t="n">
        <v>18981</v>
      </c>
      <c r="G56" s="0" t="n">
        <v>22132</v>
      </c>
      <c r="H56" s="0" t="n">
        <v>20931</v>
      </c>
      <c r="I56" s="0" t="n">
        <v>19603</v>
      </c>
      <c r="J56" s="0" t="n">
        <v>18490</v>
      </c>
      <c r="K56" s="0" t="n">
        <v>4</v>
      </c>
      <c r="L56" s="0" t="n">
        <v>2046</v>
      </c>
    </row>
    <row r="57" customFormat="false" ht="15" hidden="false" customHeight="false" outlineLevel="0" collapsed="false">
      <c r="A57" s="0" t="s">
        <v>36</v>
      </c>
      <c r="B57" s="0" t="n">
        <v>2022</v>
      </c>
      <c r="C57" s="0" t="n">
        <v>3</v>
      </c>
      <c r="D57" s="0" t="s">
        <v>15</v>
      </c>
      <c r="E57" s="0" t="s">
        <v>16</v>
      </c>
      <c r="F57" s="0" t="n">
        <v>15907</v>
      </c>
      <c r="G57" s="0" t="n">
        <v>16471</v>
      </c>
      <c r="H57" s="0" t="n">
        <v>15775</v>
      </c>
      <c r="I57" s="0" t="n">
        <v>15063</v>
      </c>
      <c r="J57" s="0" t="n">
        <v>13953</v>
      </c>
      <c r="K57" s="0" t="n">
        <v>3</v>
      </c>
      <c r="L57" s="0" t="n">
        <v>880</v>
      </c>
    </row>
    <row r="58" customFormat="false" ht="15" hidden="false" customHeight="false" outlineLevel="0" collapsed="false">
      <c r="A58" s="0" t="s">
        <v>36</v>
      </c>
      <c r="B58" s="0" t="n">
        <v>2022</v>
      </c>
      <c r="C58" s="0" t="n">
        <v>3</v>
      </c>
      <c r="D58" s="0" t="s">
        <v>17</v>
      </c>
      <c r="E58" s="0" t="s">
        <v>18</v>
      </c>
      <c r="F58" s="0" t="n">
        <v>11748</v>
      </c>
      <c r="G58" s="0" t="n">
        <v>11999</v>
      </c>
      <c r="H58" s="0" t="n">
        <v>11488</v>
      </c>
      <c r="I58" s="0" t="n">
        <v>10742</v>
      </c>
      <c r="J58" s="0" t="n">
        <v>10106</v>
      </c>
      <c r="K58" s="0" t="n">
        <v>3</v>
      </c>
      <c r="L58" s="0" t="n">
        <v>470</v>
      </c>
    </row>
    <row r="59" customFormat="false" ht="15" hidden="false" customHeight="false" outlineLevel="0" collapsed="false">
      <c r="A59" s="0" t="s">
        <v>37</v>
      </c>
      <c r="B59" s="0" t="n">
        <v>2022</v>
      </c>
      <c r="C59" s="0" t="n">
        <v>4</v>
      </c>
      <c r="D59" s="0" t="s">
        <v>13</v>
      </c>
      <c r="E59" s="0" t="s">
        <v>14</v>
      </c>
      <c r="F59" s="0" t="n">
        <v>19073</v>
      </c>
      <c r="G59" s="0" t="n">
        <v>19871</v>
      </c>
      <c r="H59" s="0" t="n">
        <v>18919</v>
      </c>
      <c r="I59" s="0" t="n">
        <v>17711</v>
      </c>
      <c r="J59" s="0" t="n">
        <v>16655</v>
      </c>
      <c r="K59" s="0" t="n">
        <v>6</v>
      </c>
      <c r="L59" s="0" t="n">
        <v>1793</v>
      </c>
    </row>
    <row r="60" customFormat="false" ht="15" hidden="false" customHeight="false" outlineLevel="0" collapsed="false">
      <c r="A60" s="0" t="s">
        <v>37</v>
      </c>
      <c r="B60" s="0" t="n">
        <v>2022</v>
      </c>
      <c r="C60" s="0" t="n">
        <v>4</v>
      </c>
      <c r="D60" s="0" t="s">
        <v>15</v>
      </c>
      <c r="E60" s="0" t="s">
        <v>16</v>
      </c>
      <c r="F60" s="0" t="n">
        <v>16123</v>
      </c>
      <c r="G60" s="0" t="n">
        <v>15095</v>
      </c>
      <c r="H60" s="0" t="n">
        <v>14103</v>
      </c>
      <c r="I60" s="0" t="n">
        <v>13095</v>
      </c>
      <c r="J60" s="0" t="n">
        <v>12438</v>
      </c>
      <c r="K60" s="0" t="n">
        <v>3</v>
      </c>
      <c r="L60" s="0" t="n">
        <v>1309</v>
      </c>
    </row>
    <row r="61" customFormat="false" ht="15" hidden="false" customHeight="false" outlineLevel="0" collapsed="false">
      <c r="A61" s="0" t="s">
        <v>37</v>
      </c>
      <c r="B61" s="0" t="n">
        <v>2022</v>
      </c>
      <c r="C61" s="0" t="n">
        <v>4</v>
      </c>
      <c r="D61" s="0" t="s">
        <v>17</v>
      </c>
      <c r="E61" s="0" t="s">
        <v>18</v>
      </c>
      <c r="F61" s="0" t="n">
        <v>11703</v>
      </c>
      <c r="G61" s="0" t="n">
        <v>11221</v>
      </c>
      <c r="H61" s="0" t="n">
        <v>10889</v>
      </c>
      <c r="I61" s="0" t="n">
        <v>10187</v>
      </c>
      <c r="J61" s="0" t="n">
        <v>9390</v>
      </c>
      <c r="K61" s="0" t="n">
        <v>6</v>
      </c>
      <c r="L61" s="0" t="n">
        <v>606</v>
      </c>
    </row>
    <row r="62" customFormat="false" ht="15" hidden="false" customHeight="false" outlineLevel="0" collapsed="false">
      <c r="A62" s="0" t="s">
        <v>38</v>
      </c>
      <c r="B62" s="0" t="n">
        <v>2023</v>
      </c>
      <c r="C62" s="0" t="n">
        <v>1</v>
      </c>
      <c r="D62" s="0" t="s">
        <v>13</v>
      </c>
      <c r="E62" s="0" t="s">
        <v>14</v>
      </c>
      <c r="F62" s="0" t="n">
        <v>19097</v>
      </c>
      <c r="G62" s="0" t="n">
        <v>19396</v>
      </c>
      <c r="H62" s="0" t="n">
        <v>18441</v>
      </c>
      <c r="I62" s="0" t="n">
        <v>17033</v>
      </c>
      <c r="J62" s="0" t="n">
        <v>16224</v>
      </c>
      <c r="K62" s="0" t="n">
        <v>5</v>
      </c>
      <c r="L62" s="0" t="n">
        <v>1726</v>
      </c>
    </row>
    <row r="63" customFormat="false" ht="15" hidden="false" customHeight="false" outlineLevel="0" collapsed="false">
      <c r="A63" s="0" t="s">
        <v>38</v>
      </c>
      <c r="B63" s="0" t="n">
        <v>2023</v>
      </c>
      <c r="C63" s="0" t="n">
        <v>1</v>
      </c>
      <c r="D63" s="0" t="s">
        <v>15</v>
      </c>
      <c r="E63" s="0" t="s">
        <v>16</v>
      </c>
      <c r="F63" s="0" t="n">
        <v>16024</v>
      </c>
      <c r="G63" s="0" t="n">
        <v>14933</v>
      </c>
      <c r="H63" s="0" t="n">
        <v>14402</v>
      </c>
      <c r="I63" s="0" t="n">
        <v>13357</v>
      </c>
      <c r="J63" s="0" t="n">
        <v>12422</v>
      </c>
      <c r="K63" s="0" t="n">
        <v>2</v>
      </c>
      <c r="L63" s="0" t="n">
        <v>1785</v>
      </c>
    </row>
    <row r="64" customFormat="false" ht="15" hidden="false" customHeight="false" outlineLevel="0" collapsed="false">
      <c r="A64" s="0" t="s">
        <v>38</v>
      </c>
      <c r="B64" s="0" t="n">
        <v>2023</v>
      </c>
      <c r="C64" s="0" t="n">
        <v>1</v>
      </c>
      <c r="D64" s="0" t="s">
        <v>17</v>
      </c>
      <c r="E64" s="0" t="s">
        <v>18</v>
      </c>
      <c r="F64" s="0" t="n">
        <v>11634</v>
      </c>
      <c r="G64" s="0" t="n">
        <v>10314</v>
      </c>
      <c r="H64" s="0" t="n">
        <v>9832</v>
      </c>
      <c r="I64" s="0" t="n">
        <v>9388</v>
      </c>
      <c r="J64" s="0" t="n">
        <v>8921</v>
      </c>
      <c r="K64" s="0" t="n">
        <v>3</v>
      </c>
      <c r="L64" s="0" t="n">
        <v>984</v>
      </c>
    </row>
    <row r="65" customFormat="false" ht="15" hidden="false" customHeight="false" outlineLevel="0" collapsed="false">
      <c r="A65" s="0" t="s">
        <v>39</v>
      </c>
      <c r="B65" s="0" t="n">
        <v>2023</v>
      </c>
      <c r="C65" s="0" t="n">
        <v>2</v>
      </c>
      <c r="D65" s="0" t="s">
        <v>13</v>
      </c>
      <c r="E65" s="0" t="s">
        <v>14</v>
      </c>
      <c r="F65" s="0" t="n">
        <v>19174</v>
      </c>
      <c r="G65" s="0" t="n">
        <v>20899</v>
      </c>
      <c r="H65" s="0" t="n">
        <v>20059</v>
      </c>
      <c r="I65" s="0" t="n">
        <v>19446</v>
      </c>
      <c r="J65" s="0" t="n">
        <v>18345</v>
      </c>
      <c r="K65" s="0" t="n">
        <v>4</v>
      </c>
      <c r="L65" s="0" t="n">
        <v>2224</v>
      </c>
    </row>
    <row r="66" customFormat="false" ht="15" hidden="false" customHeight="false" outlineLevel="0" collapsed="false">
      <c r="A66" s="0" t="s">
        <v>39</v>
      </c>
      <c r="B66" s="0" t="n">
        <v>2023</v>
      </c>
      <c r="C66" s="0" t="n">
        <v>2</v>
      </c>
      <c r="D66" s="0" t="s">
        <v>15</v>
      </c>
      <c r="E66" s="0" t="s">
        <v>16</v>
      </c>
      <c r="F66" s="0" t="n">
        <v>16278</v>
      </c>
      <c r="G66" s="0" t="n">
        <v>16633</v>
      </c>
      <c r="H66" s="0" t="n">
        <v>15925</v>
      </c>
      <c r="I66" s="0" t="n">
        <v>15313</v>
      </c>
      <c r="J66" s="0" t="n">
        <v>14322</v>
      </c>
      <c r="K66" s="0" t="n">
        <v>2</v>
      </c>
      <c r="L66" s="0" t="n">
        <v>1819</v>
      </c>
    </row>
    <row r="67" customFormat="false" ht="15" hidden="false" customHeight="false" outlineLevel="0" collapsed="false">
      <c r="A67" s="0" t="s">
        <v>39</v>
      </c>
      <c r="B67" s="0" t="n">
        <v>2023</v>
      </c>
      <c r="C67" s="0" t="n">
        <v>2</v>
      </c>
      <c r="D67" s="0" t="s">
        <v>17</v>
      </c>
      <c r="E67" s="0" t="s">
        <v>18</v>
      </c>
      <c r="F67" s="0" t="n">
        <v>12011</v>
      </c>
      <c r="G67" s="0" t="n">
        <v>12075</v>
      </c>
      <c r="H67" s="0" t="n">
        <v>11700</v>
      </c>
      <c r="I67" s="0" t="n">
        <v>10927</v>
      </c>
      <c r="J67" s="0" t="n">
        <v>10403</v>
      </c>
      <c r="K67" s="0" t="n">
        <v>5</v>
      </c>
      <c r="L67" s="0" t="n">
        <v>946</v>
      </c>
    </row>
    <row r="68" customFormat="false" ht="15" hidden="false" customHeight="false" outlineLevel="0" collapsed="false">
      <c r="A68" s="0" t="s">
        <v>40</v>
      </c>
      <c r="B68" s="0" t="n">
        <v>2023</v>
      </c>
      <c r="C68" s="0" t="n">
        <v>3</v>
      </c>
      <c r="D68" s="0" t="s">
        <v>13</v>
      </c>
      <c r="E68" s="0" t="s">
        <v>14</v>
      </c>
      <c r="F68" s="0" t="n">
        <v>19294</v>
      </c>
      <c r="G68" s="0" t="n">
        <v>23999</v>
      </c>
      <c r="H68" s="0" t="n">
        <v>22703</v>
      </c>
      <c r="I68" s="0" t="n">
        <v>21196</v>
      </c>
      <c r="J68" s="0" t="n">
        <v>19592</v>
      </c>
      <c r="K68" s="0" t="n">
        <v>5</v>
      </c>
      <c r="L68" s="0" t="n">
        <v>1605</v>
      </c>
    </row>
    <row r="69" customFormat="false" ht="15" hidden="false" customHeight="false" outlineLevel="0" collapsed="false">
      <c r="A69" s="0" t="s">
        <v>40</v>
      </c>
      <c r="B69" s="0" t="n">
        <v>2023</v>
      </c>
      <c r="C69" s="0" t="n">
        <v>3</v>
      </c>
      <c r="D69" s="0" t="s">
        <v>15</v>
      </c>
      <c r="E69" s="0" t="s">
        <v>16</v>
      </c>
      <c r="F69" s="0" t="n">
        <v>15966</v>
      </c>
      <c r="G69" s="0" t="n">
        <v>18406</v>
      </c>
      <c r="H69" s="0" t="n">
        <v>17500</v>
      </c>
      <c r="I69" s="0" t="n">
        <v>16288</v>
      </c>
      <c r="J69" s="0" t="n">
        <v>14947</v>
      </c>
      <c r="K69" s="0" t="n">
        <v>4</v>
      </c>
      <c r="L69" s="0" t="n">
        <v>1061</v>
      </c>
    </row>
    <row r="70" customFormat="false" ht="15" hidden="false" customHeight="false" outlineLevel="0" collapsed="false">
      <c r="A70" s="0" t="s">
        <v>40</v>
      </c>
      <c r="B70" s="0" t="n">
        <v>2023</v>
      </c>
      <c r="C70" s="0" t="n">
        <v>3</v>
      </c>
      <c r="D70" s="0" t="s">
        <v>17</v>
      </c>
      <c r="E70" s="0" t="s">
        <v>18</v>
      </c>
      <c r="F70" s="0" t="n">
        <v>12002</v>
      </c>
      <c r="G70" s="0" t="n">
        <v>12764</v>
      </c>
      <c r="H70" s="0" t="n">
        <v>12244</v>
      </c>
      <c r="I70" s="0" t="n">
        <v>11819</v>
      </c>
      <c r="J70" s="0" t="n">
        <v>11004</v>
      </c>
      <c r="K70" s="0" t="n">
        <v>5</v>
      </c>
      <c r="L70" s="0" t="n">
        <v>1147</v>
      </c>
    </row>
    <row r="71" customFormat="false" ht="15" hidden="false" customHeight="false" outlineLevel="0" collapsed="false">
      <c r="A71" s="0" t="s">
        <v>41</v>
      </c>
      <c r="B71" s="0" t="n">
        <v>2023</v>
      </c>
      <c r="C71" s="0" t="n">
        <v>4</v>
      </c>
      <c r="D71" s="0" t="s">
        <v>13</v>
      </c>
      <c r="E71" s="0" t="s">
        <v>14</v>
      </c>
      <c r="F71" s="0" t="n">
        <v>19639</v>
      </c>
      <c r="G71" s="0" t="n">
        <v>20490</v>
      </c>
      <c r="H71" s="0" t="n">
        <v>19931</v>
      </c>
      <c r="I71" s="0" t="n">
        <v>19088</v>
      </c>
      <c r="J71" s="0" t="n">
        <v>17706</v>
      </c>
      <c r="K71" s="0" t="n">
        <v>4</v>
      </c>
      <c r="L71" s="0" t="n">
        <v>2283</v>
      </c>
    </row>
    <row r="72" customFormat="false" ht="15" hidden="false" customHeight="false" outlineLevel="0" collapsed="false">
      <c r="A72" s="0" t="s">
        <v>41</v>
      </c>
      <c r="B72" s="0" t="n">
        <v>2023</v>
      </c>
      <c r="C72" s="0" t="n">
        <v>4</v>
      </c>
      <c r="D72" s="0" t="s">
        <v>15</v>
      </c>
      <c r="E72" s="0" t="s">
        <v>16</v>
      </c>
      <c r="F72" s="0" t="n">
        <v>16254</v>
      </c>
      <c r="G72" s="0" t="n">
        <v>14974</v>
      </c>
      <c r="H72" s="0" t="n">
        <v>14292</v>
      </c>
      <c r="I72" s="0" t="n">
        <v>13791</v>
      </c>
      <c r="J72" s="0" t="n">
        <v>13102</v>
      </c>
      <c r="K72" s="0" t="n">
        <v>2</v>
      </c>
      <c r="L72" s="0" t="n">
        <v>1005</v>
      </c>
    </row>
    <row r="73" customFormat="false" ht="15" hidden="false" customHeight="false" outlineLevel="0" collapsed="false">
      <c r="A73" s="0" t="s">
        <v>41</v>
      </c>
      <c r="B73" s="0" t="n">
        <v>2023</v>
      </c>
      <c r="C73" s="0" t="n">
        <v>4</v>
      </c>
      <c r="D73" s="0" t="s">
        <v>17</v>
      </c>
      <c r="E73" s="0" t="s">
        <v>18</v>
      </c>
      <c r="F73" s="0" t="n">
        <v>12022</v>
      </c>
      <c r="G73" s="0" t="n">
        <v>12048</v>
      </c>
      <c r="H73" s="0" t="n">
        <v>11305</v>
      </c>
      <c r="I73" s="0" t="n">
        <v>10630</v>
      </c>
      <c r="J73" s="0" t="n">
        <v>10035</v>
      </c>
      <c r="K73" s="0" t="n">
        <v>5</v>
      </c>
      <c r="L73" s="0" t="n">
        <v>930</v>
      </c>
    </row>
    <row r="74" customFormat="false" ht="15" hidden="false" customHeight="false" outlineLevel="0" collapsed="false">
      <c r="A74" s="0" t="s">
        <v>42</v>
      </c>
      <c r="B74" s="0" t="n">
        <v>2024</v>
      </c>
      <c r="C74" s="0" t="n">
        <v>1</v>
      </c>
      <c r="D74" s="0" t="s">
        <v>13</v>
      </c>
      <c r="E74" s="0" t="s">
        <v>14</v>
      </c>
      <c r="F74" s="0" t="n">
        <v>19450</v>
      </c>
      <c r="G74" s="0" t="n">
        <v>19453</v>
      </c>
      <c r="H74" s="0" t="n">
        <v>18737</v>
      </c>
      <c r="I74" s="0" t="n">
        <v>17793</v>
      </c>
      <c r="J74" s="0" t="n">
        <v>16999</v>
      </c>
      <c r="K74" s="0" t="n">
        <v>3</v>
      </c>
      <c r="L74" s="0" t="n">
        <v>908</v>
      </c>
    </row>
    <row r="75" customFormat="false" ht="15" hidden="false" customHeight="false" outlineLevel="0" collapsed="false">
      <c r="A75" s="0" t="s">
        <v>42</v>
      </c>
      <c r="B75" s="0" t="n">
        <v>2024</v>
      </c>
      <c r="C75" s="0" t="n">
        <v>1</v>
      </c>
      <c r="D75" s="0" t="s">
        <v>15</v>
      </c>
      <c r="E75" s="0" t="s">
        <v>16</v>
      </c>
      <c r="F75" s="0" t="n">
        <v>16488</v>
      </c>
      <c r="G75" s="0" t="n">
        <v>16634</v>
      </c>
      <c r="H75" s="0" t="n">
        <v>15646</v>
      </c>
      <c r="I75" s="0" t="n">
        <v>14691</v>
      </c>
      <c r="J75" s="0" t="n">
        <v>13406</v>
      </c>
      <c r="K75" s="0" t="n">
        <v>4</v>
      </c>
      <c r="L75" s="0" t="n">
        <v>1090</v>
      </c>
    </row>
    <row r="76" customFormat="false" ht="15" hidden="false" customHeight="false" outlineLevel="0" collapsed="false">
      <c r="A76" s="0" t="s">
        <v>42</v>
      </c>
      <c r="B76" s="0" t="n">
        <v>2024</v>
      </c>
      <c r="C76" s="0" t="n">
        <v>1</v>
      </c>
      <c r="D76" s="0" t="s">
        <v>17</v>
      </c>
      <c r="E76" s="0" t="s">
        <v>18</v>
      </c>
      <c r="F76" s="0" t="n">
        <v>12078</v>
      </c>
      <c r="G76" s="0" t="n">
        <v>11383</v>
      </c>
      <c r="H76" s="0" t="n">
        <v>10854</v>
      </c>
      <c r="I76" s="0" t="n">
        <v>10439</v>
      </c>
      <c r="J76" s="0" t="n">
        <v>9720</v>
      </c>
      <c r="K76" s="0" t="n">
        <v>7</v>
      </c>
      <c r="L76" s="0" t="n">
        <v>1206</v>
      </c>
    </row>
    <row r="77" customFormat="false" ht="15" hidden="false" customHeight="false" outlineLevel="0" collapsed="false">
      <c r="A77" s="0" t="s">
        <v>43</v>
      </c>
      <c r="B77" s="0" t="n">
        <v>2024</v>
      </c>
      <c r="C77" s="0" t="n">
        <v>2</v>
      </c>
      <c r="D77" s="0" t="s">
        <v>13</v>
      </c>
      <c r="E77" s="0" t="s">
        <v>14</v>
      </c>
      <c r="F77" s="0" t="n">
        <v>19373</v>
      </c>
      <c r="G77" s="0" t="n">
        <v>22207</v>
      </c>
      <c r="H77" s="0" t="n">
        <v>21377</v>
      </c>
      <c r="I77" s="0" t="n">
        <v>20502</v>
      </c>
      <c r="J77" s="0" t="n">
        <v>19324</v>
      </c>
      <c r="K77" s="0" t="n">
        <v>4</v>
      </c>
      <c r="L77" s="0" t="n">
        <v>1943</v>
      </c>
    </row>
    <row r="78" customFormat="false" ht="15" hidden="false" customHeight="false" outlineLevel="0" collapsed="false">
      <c r="A78" s="0" t="s">
        <v>43</v>
      </c>
      <c r="B78" s="0" t="n">
        <v>2024</v>
      </c>
      <c r="C78" s="0" t="n">
        <v>2</v>
      </c>
      <c r="D78" s="0" t="s">
        <v>15</v>
      </c>
      <c r="E78" s="0" t="s">
        <v>16</v>
      </c>
      <c r="F78" s="0" t="n">
        <v>16303</v>
      </c>
      <c r="G78" s="0" t="n">
        <v>18460</v>
      </c>
      <c r="H78" s="0" t="n">
        <v>17786</v>
      </c>
      <c r="I78" s="0" t="n">
        <v>16476</v>
      </c>
      <c r="J78" s="0" t="n">
        <v>15119</v>
      </c>
      <c r="K78" s="0" t="n">
        <v>3</v>
      </c>
      <c r="L78" s="0" t="n">
        <v>1387</v>
      </c>
    </row>
    <row r="79" customFormat="false" ht="15" hidden="false" customHeight="false" outlineLevel="0" collapsed="false">
      <c r="A79" s="0" t="s">
        <v>43</v>
      </c>
      <c r="B79" s="0" t="n">
        <v>2024</v>
      </c>
      <c r="C79" s="0" t="n">
        <v>2</v>
      </c>
      <c r="D79" s="0" t="s">
        <v>17</v>
      </c>
      <c r="E79" s="0" t="s">
        <v>18</v>
      </c>
      <c r="F79" s="0" t="n">
        <v>11913</v>
      </c>
      <c r="G79" s="0" t="n">
        <v>12796</v>
      </c>
      <c r="H79" s="0" t="n">
        <v>12517</v>
      </c>
      <c r="I79" s="0" t="n">
        <v>11895</v>
      </c>
      <c r="J79" s="0" t="n">
        <v>11044</v>
      </c>
      <c r="K79" s="0" t="n">
        <v>5</v>
      </c>
      <c r="L79" s="0" t="n">
        <v>1161</v>
      </c>
    </row>
    <row r="80" customFormat="false" ht="15" hidden="false" customHeight="false" outlineLevel="0" collapsed="false">
      <c r="A80" s="0" t="s">
        <v>44</v>
      </c>
      <c r="B80" s="0" t="n">
        <v>2024</v>
      </c>
      <c r="C80" s="0" t="n">
        <v>3</v>
      </c>
      <c r="D80" s="0" t="s">
        <v>13</v>
      </c>
      <c r="E80" s="0" t="s">
        <v>14</v>
      </c>
      <c r="F80" s="0" t="n">
        <v>19487</v>
      </c>
      <c r="G80" s="0" t="n">
        <v>24328</v>
      </c>
      <c r="H80" s="0" t="n">
        <v>23449</v>
      </c>
      <c r="I80" s="0" t="n">
        <v>21939</v>
      </c>
      <c r="J80" s="0" t="n">
        <v>19993</v>
      </c>
      <c r="K80" s="0" t="n">
        <v>4</v>
      </c>
      <c r="L80" s="0" t="n">
        <v>2273</v>
      </c>
    </row>
    <row r="81" customFormat="false" ht="15" hidden="false" customHeight="false" outlineLevel="0" collapsed="false">
      <c r="A81" s="0" t="s">
        <v>44</v>
      </c>
      <c r="B81" s="0" t="n">
        <v>2024</v>
      </c>
      <c r="C81" s="0" t="n">
        <v>3</v>
      </c>
      <c r="D81" s="0" t="s">
        <v>15</v>
      </c>
      <c r="E81" s="0" t="s">
        <v>16</v>
      </c>
      <c r="F81" s="0" t="n">
        <v>16456</v>
      </c>
      <c r="G81" s="0" t="n">
        <v>18737</v>
      </c>
      <c r="H81" s="0" t="n">
        <v>17653</v>
      </c>
      <c r="I81" s="0" t="n">
        <v>16974</v>
      </c>
      <c r="J81" s="0" t="n">
        <v>15949</v>
      </c>
      <c r="K81" s="0" t="n">
        <v>3</v>
      </c>
      <c r="L81" s="0" t="n">
        <v>1576</v>
      </c>
    </row>
    <row r="82" customFormat="false" ht="15" hidden="false" customHeight="false" outlineLevel="0" collapsed="false">
      <c r="A82" s="0" t="s">
        <v>44</v>
      </c>
      <c r="B82" s="0" t="n">
        <v>2024</v>
      </c>
      <c r="C82" s="0" t="n">
        <v>3</v>
      </c>
      <c r="D82" s="0" t="s">
        <v>17</v>
      </c>
      <c r="E82" s="0" t="s">
        <v>18</v>
      </c>
      <c r="F82" s="0" t="n">
        <v>11998</v>
      </c>
      <c r="G82" s="0" t="n">
        <v>13755</v>
      </c>
      <c r="H82" s="0" t="n">
        <v>13331</v>
      </c>
      <c r="I82" s="0" t="n">
        <v>12921</v>
      </c>
      <c r="J82" s="0" t="n">
        <v>11837</v>
      </c>
      <c r="K82" s="0" t="n">
        <v>4</v>
      </c>
      <c r="L82" s="0" t="n">
        <v>813</v>
      </c>
    </row>
    <row r="83" customFormat="false" ht="15" hidden="false" customHeight="false" outlineLevel="0" collapsed="false">
      <c r="A83" s="0" t="s">
        <v>45</v>
      </c>
      <c r="B83" s="0" t="n">
        <v>2024</v>
      </c>
      <c r="C83" s="0" t="n">
        <v>4</v>
      </c>
      <c r="D83" s="0" t="s">
        <v>13</v>
      </c>
      <c r="E83" s="0" t="s">
        <v>14</v>
      </c>
      <c r="F83" s="0" t="n">
        <v>19758</v>
      </c>
      <c r="G83" s="0" t="n">
        <v>21610</v>
      </c>
      <c r="H83" s="0" t="n">
        <v>20552</v>
      </c>
      <c r="I83" s="0" t="n">
        <v>18921</v>
      </c>
      <c r="J83" s="0" t="n">
        <v>17831</v>
      </c>
      <c r="K83" s="0" t="n">
        <v>3</v>
      </c>
      <c r="L83" s="0" t="n">
        <v>1565</v>
      </c>
    </row>
    <row r="84" customFormat="false" ht="15" hidden="false" customHeight="false" outlineLevel="0" collapsed="false">
      <c r="A84" s="0" t="s">
        <v>45</v>
      </c>
      <c r="B84" s="0" t="n">
        <v>2024</v>
      </c>
      <c r="C84" s="0" t="n">
        <v>4</v>
      </c>
      <c r="D84" s="0" t="s">
        <v>15</v>
      </c>
      <c r="E84" s="0" t="s">
        <v>16</v>
      </c>
      <c r="F84" s="0" t="n">
        <v>16493</v>
      </c>
      <c r="G84" s="0" t="n">
        <v>16552</v>
      </c>
      <c r="H84" s="0" t="n">
        <v>15754</v>
      </c>
      <c r="I84" s="0" t="n">
        <v>15051</v>
      </c>
      <c r="J84" s="0" t="n">
        <v>14321</v>
      </c>
      <c r="K84" s="0" t="n">
        <v>2</v>
      </c>
      <c r="L84" s="0" t="n">
        <v>1627</v>
      </c>
    </row>
    <row r="85" customFormat="false" ht="15" hidden="false" customHeight="false" outlineLevel="0" collapsed="false">
      <c r="A85" s="0" t="s">
        <v>45</v>
      </c>
      <c r="B85" s="0" t="n">
        <v>2024</v>
      </c>
      <c r="C85" s="0" t="n">
        <v>4</v>
      </c>
      <c r="D85" s="0" t="s">
        <v>17</v>
      </c>
      <c r="E85" s="0" t="s">
        <v>18</v>
      </c>
      <c r="F85" s="0" t="n">
        <v>11966</v>
      </c>
      <c r="G85" s="0" t="n">
        <v>11715</v>
      </c>
      <c r="H85" s="0" t="n">
        <v>11379</v>
      </c>
      <c r="I85" s="0" t="n">
        <v>10734</v>
      </c>
      <c r="J85" s="0" t="n">
        <v>10184</v>
      </c>
      <c r="K85" s="0" t="n">
        <v>3</v>
      </c>
      <c r="L85" s="0" t="n">
        <v>1045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4" min="2" style="0" width="18"/>
  </cols>
  <sheetData>
    <row r="1" customFormat="false" ht="16.15" hidden="false" customHeight="false" outlineLevel="0" collapsed="false">
      <c r="A1" s="2" t="s">
        <v>46</v>
      </c>
    </row>
    <row r="2" customFormat="false" ht="15" hidden="false" customHeight="false" outlineLevel="0" collapsed="false">
      <c r="A2" s="3" t="s">
        <v>47</v>
      </c>
    </row>
    <row r="4" customFormat="false" ht="15" hidden="false" customHeight="false" outlineLevel="0" collapsed="false">
      <c r="A4" s="4" t="s">
        <v>0</v>
      </c>
      <c r="B4" s="4" t="s">
        <v>13</v>
      </c>
      <c r="C4" s="4" t="s">
        <v>15</v>
      </c>
      <c r="D4" s="4" t="s">
        <v>17</v>
      </c>
    </row>
    <row r="5" customFormat="false" ht="15" hidden="false" customHeight="false" outlineLevel="0" collapsed="false">
      <c r="A5" s="0" t="s">
        <v>12</v>
      </c>
      <c r="B5" s="5" t="n">
        <f aca="false">DHIS2_Raw_Data!J2/DHIS2_Raw_Data!F2</f>
        <v>0.692264511058718</v>
      </c>
      <c r="C5" s="5" t="n">
        <f aca="false">DHIS2_Raw_Data!J3/DHIS2_Raw_Data!F3</f>
        <v>0.637027520454392</v>
      </c>
      <c r="D5" s="5" t="n">
        <f aca="false">DHIS2_Raw_Data!J4/DHIS2_Raw_Data!F4</f>
        <v>0.534020252265056</v>
      </c>
    </row>
    <row r="6" customFormat="false" ht="15" hidden="false" customHeight="false" outlineLevel="0" collapsed="false">
      <c r="A6" s="0" t="s">
        <v>19</v>
      </c>
      <c r="B6" s="6" t="n">
        <f aca="false">DHIS2_Raw_Data!J5/DHIS2_Raw_Data!F5</f>
        <v>0.785627619677918</v>
      </c>
      <c r="C6" s="6" t="n">
        <f aca="false">DHIS2_Raw_Data!J6/DHIS2_Raw_Data!F6</f>
        <v>0.719439277172469</v>
      </c>
      <c r="D6" s="5" t="n">
        <f aca="false">DHIS2_Raw_Data!J7/DHIS2_Raw_Data!F7</f>
        <v>0.629383044829117</v>
      </c>
    </row>
    <row r="7" customFormat="false" ht="15" hidden="false" customHeight="false" outlineLevel="0" collapsed="false">
      <c r="A7" s="0" t="s">
        <v>20</v>
      </c>
      <c r="B7" s="7" t="n">
        <f aca="false">DHIS2_Raw_Data!J8/DHIS2_Raw_Data!F8</f>
        <v>0.827301622706742</v>
      </c>
      <c r="C7" s="6" t="n">
        <f aca="false">DHIS2_Raw_Data!J9/DHIS2_Raw_Data!F9</f>
        <v>0.773104226099648</v>
      </c>
      <c r="D7" s="5" t="n">
        <f aca="false">DHIS2_Raw_Data!J10/DHIS2_Raw_Data!F10</f>
        <v>0.655724137931035</v>
      </c>
    </row>
    <row r="8" customFormat="false" ht="15" hidden="false" customHeight="false" outlineLevel="0" collapsed="false">
      <c r="A8" s="0" t="s">
        <v>21</v>
      </c>
      <c r="B8" s="6" t="n">
        <f aca="false">DHIS2_Raw_Data!J11/DHIS2_Raw_Data!F11</f>
        <v>0.722718143271591</v>
      </c>
      <c r="C8" s="6" t="n">
        <f aca="false">DHIS2_Raw_Data!J12/DHIS2_Raw_Data!F12</f>
        <v>0.704621343662348</v>
      </c>
      <c r="D8" s="5" t="n">
        <f aca="false">DHIS2_Raw_Data!J13/DHIS2_Raw_Data!F13</f>
        <v>0.600411854239413</v>
      </c>
    </row>
    <row r="9" customFormat="false" ht="15" hidden="false" customHeight="false" outlineLevel="0" collapsed="false">
      <c r="A9" s="0" t="s">
        <v>22</v>
      </c>
      <c r="B9" s="6" t="n">
        <f aca="false">DHIS2_Raw_Data!J14/DHIS2_Raw_Data!F14</f>
        <v>0.710400172348791</v>
      </c>
      <c r="C9" s="5" t="n">
        <f aca="false">DHIS2_Raw_Data!J15/DHIS2_Raw_Data!F15</f>
        <v>0.67072359670125</v>
      </c>
      <c r="D9" s="5" t="n">
        <f aca="false">DHIS2_Raw_Data!J16/DHIS2_Raw_Data!F16</f>
        <v>0.559816626994622</v>
      </c>
    </row>
    <row r="10" customFormat="false" ht="15" hidden="false" customHeight="false" outlineLevel="0" collapsed="false">
      <c r="A10" s="0" t="s">
        <v>23</v>
      </c>
      <c r="B10" s="7" t="n">
        <f aca="false">DHIS2_Raw_Data!J17/DHIS2_Raw_Data!F17</f>
        <v>0.827474485663373</v>
      </c>
      <c r="C10" s="6" t="n">
        <f aca="false">DHIS2_Raw_Data!J18/DHIS2_Raw_Data!F18</f>
        <v>0.790100704271704</v>
      </c>
      <c r="D10" s="5" t="n">
        <f aca="false">DHIS2_Raw_Data!J19/DHIS2_Raw_Data!F19</f>
        <v>0.678907142229641</v>
      </c>
    </row>
    <row r="11" customFormat="false" ht="15" hidden="false" customHeight="false" outlineLevel="0" collapsed="false">
      <c r="A11" s="0" t="s">
        <v>24</v>
      </c>
      <c r="B11" s="7" t="n">
        <f aca="false">DHIS2_Raw_Data!J20/DHIS2_Raw_Data!F20</f>
        <v>0.848525319977741</v>
      </c>
      <c r="C11" s="7" t="n">
        <f aca="false">DHIS2_Raw_Data!J21/DHIS2_Raw_Data!F21</f>
        <v>0.823983123475509</v>
      </c>
      <c r="D11" s="6" t="n">
        <f aca="false">DHIS2_Raw_Data!J22/DHIS2_Raw_Data!F22</f>
        <v>0.717766675431677</v>
      </c>
    </row>
    <row r="12" customFormat="false" ht="15" hidden="false" customHeight="false" outlineLevel="0" collapsed="false">
      <c r="A12" s="0" t="s">
        <v>25</v>
      </c>
      <c r="B12" s="6" t="n">
        <f aca="false">DHIS2_Raw_Data!J23/DHIS2_Raw_Data!F23</f>
        <v>0.791229690811281</v>
      </c>
      <c r="C12" s="5" t="n">
        <f aca="false">DHIS2_Raw_Data!J24/DHIS2_Raw_Data!F24</f>
        <v>0.697373578988632</v>
      </c>
      <c r="D12" s="5" t="n">
        <f aca="false">DHIS2_Raw_Data!J25/DHIS2_Raw_Data!F25</f>
        <v>0.640958644922966</v>
      </c>
    </row>
    <row r="13" customFormat="false" ht="15" hidden="false" customHeight="false" outlineLevel="0" collapsed="false">
      <c r="A13" s="0" t="s">
        <v>26</v>
      </c>
      <c r="B13" s="6" t="n">
        <f aca="false">DHIS2_Raw_Data!J26/DHIS2_Raw_Data!F26</f>
        <v>0.757132091721391</v>
      </c>
      <c r="C13" s="5" t="n">
        <f aca="false">DHIS2_Raw_Data!J27/DHIS2_Raw_Data!F27</f>
        <v>0.687237828905555</v>
      </c>
      <c r="D13" s="5" t="n">
        <f aca="false">DHIS2_Raw_Data!J28/DHIS2_Raw_Data!F28</f>
        <v>0.621927668539326</v>
      </c>
    </row>
    <row r="14" customFormat="false" ht="15" hidden="false" customHeight="false" outlineLevel="0" collapsed="false">
      <c r="A14" s="0" t="s">
        <v>27</v>
      </c>
      <c r="B14" s="7" t="n">
        <f aca="false">DHIS2_Raw_Data!J29/DHIS2_Raw_Data!F29</f>
        <v>0.862105940381729</v>
      </c>
      <c r="C14" s="6" t="n">
        <f aca="false">DHIS2_Raw_Data!J30/DHIS2_Raw_Data!F30</f>
        <v>0.798917650127144</v>
      </c>
      <c r="D14" s="6" t="n">
        <f aca="false">DHIS2_Raw_Data!J31/DHIS2_Raw_Data!F31</f>
        <v>0.725927262882411</v>
      </c>
    </row>
    <row r="15" customFormat="false" ht="15" hidden="false" customHeight="false" outlineLevel="0" collapsed="false">
      <c r="A15" s="0" t="s">
        <v>28</v>
      </c>
      <c r="B15" s="7" t="n">
        <f aca="false">DHIS2_Raw_Data!J32/DHIS2_Raw_Data!F32</f>
        <v>0.89065180102916</v>
      </c>
      <c r="C15" s="7" t="n">
        <f aca="false">DHIS2_Raw_Data!J33/DHIS2_Raw_Data!F33</f>
        <v>0.851890279489009</v>
      </c>
      <c r="D15" s="6" t="n">
        <f aca="false">DHIS2_Raw_Data!J34/DHIS2_Raw_Data!F34</f>
        <v>0.775069396252602</v>
      </c>
    </row>
    <row r="16" customFormat="false" ht="15" hidden="false" customHeight="false" outlineLevel="0" collapsed="false">
      <c r="A16" s="0" t="s">
        <v>29</v>
      </c>
      <c r="B16" s="7" t="n">
        <f aca="false">DHIS2_Raw_Data!J35/DHIS2_Raw_Data!F35</f>
        <v>0.812219914744781</v>
      </c>
      <c r="C16" s="6" t="n">
        <f aca="false">DHIS2_Raw_Data!J36/DHIS2_Raw_Data!F36</f>
        <v>0.742503259452412</v>
      </c>
      <c r="D16" s="5" t="n">
        <f aca="false">DHIS2_Raw_Data!J37/DHIS2_Raw_Data!F37</f>
        <v>0.674582688005507</v>
      </c>
    </row>
    <row r="17" customFormat="false" ht="15" hidden="false" customHeight="false" outlineLevel="0" collapsed="false">
      <c r="A17" s="0" t="s">
        <v>30</v>
      </c>
      <c r="B17" s="6" t="n">
        <f aca="false">DHIS2_Raw_Data!J38/DHIS2_Raw_Data!F38</f>
        <v>0.778246701212672</v>
      </c>
      <c r="C17" s="6" t="n">
        <f aca="false">DHIS2_Raw_Data!J39/DHIS2_Raw_Data!F39</f>
        <v>0.737506473329881</v>
      </c>
      <c r="D17" s="5" t="n">
        <f aca="false">DHIS2_Raw_Data!J40/DHIS2_Raw_Data!F40</f>
        <v>0.697881729920565</v>
      </c>
    </row>
    <row r="18" customFormat="false" ht="15" hidden="false" customHeight="false" outlineLevel="0" collapsed="false">
      <c r="A18" s="0" t="s">
        <v>31</v>
      </c>
      <c r="B18" s="7" t="n">
        <f aca="false">DHIS2_Raw_Data!J41/DHIS2_Raw_Data!F41</f>
        <v>0.874541686593337</v>
      </c>
      <c r="C18" s="7" t="n">
        <f aca="false">DHIS2_Raw_Data!J42/DHIS2_Raw_Data!F42</f>
        <v>0.838372093023256</v>
      </c>
      <c r="D18" s="6" t="n">
        <f aca="false">DHIS2_Raw_Data!J43/DHIS2_Raw_Data!F43</f>
        <v>0.783610867659947</v>
      </c>
    </row>
    <row r="19" customFormat="false" ht="15" hidden="false" customHeight="false" outlineLevel="0" collapsed="false">
      <c r="A19" s="0" t="s">
        <v>32</v>
      </c>
      <c r="B19" s="7" t="n">
        <f aca="false">DHIS2_Raw_Data!J44/DHIS2_Raw_Data!F44</f>
        <v>0.949897640340481</v>
      </c>
      <c r="C19" s="7" t="n">
        <f aca="false">DHIS2_Raw_Data!J45/DHIS2_Raw_Data!F45</f>
        <v>0.871371947321314</v>
      </c>
      <c r="D19" s="6" t="n">
        <f aca="false">DHIS2_Raw_Data!J46/DHIS2_Raw_Data!F46</f>
        <v>0.797215122939984</v>
      </c>
    </row>
    <row r="20" customFormat="false" ht="15" hidden="false" customHeight="false" outlineLevel="0" collapsed="false">
      <c r="A20" s="0" t="s">
        <v>33</v>
      </c>
      <c r="B20" s="7" t="n">
        <f aca="false">DHIS2_Raw_Data!J47/DHIS2_Raw_Data!F47</f>
        <v>0.840377358490566</v>
      </c>
      <c r="C20" s="6" t="n">
        <f aca="false">DHIS2_Raw_Data!J48/DHIS2_Raw_Data!F48</f>
        <v>0.78581380620646</v>
      </c>
      <c r="D20" s="6" t="n">
        <f aca="false">DHIS2_Raw_Data!J49/DHIS2_Raw_Data!F49</f>
        <v>0.735232067510549</v>
      </c>
    </row>
    <row r="21" customFormat="false" ht="15" hidden="false" customHeight="false" outlineLevel="0" collapsed="false">
      <c r="A21" s="0" t="s">
        <v>34</v>
      </c>
      <c r="B21" s="7" t="n">
        <f aca="false">DHIS2_Raw_Data!J50/DHIS2_Raw_Data!F50</f>
        <v>0.813964484606494</v>
      </c>
      <c r="C21" s="6" t="n">
        <f aca="false">DHIS2_Raw_Data!J51/DHIS2_Raw_Data!F51</f>
        <v>0.737788563250576</v>
      </c>
      <c r="D21" s="6" t="n">
        <f aca="false">DHIS2_Raw_Data!J52/DHIS2_Raw_Data!F52</f>
        <v>0.740231859167025</v>
      </c>
    </row>
    <row r="22" customFormat="false" ht="15" hidden="false" customHeight="false" outlineLevel="0" collapsed="false">
      <c r="A22" s="0" t="s">
        <v>35</v>
      </c>
      <c r="B22" s="7" t="n">
        <f aca="false">DHIS2_Raw_Data!J53/DHIS2_Raw_Data!F53</f>
        <v>0.939313984168866</v>
      </c>
      <c r="C22" s="7" t="n">
        <f aca="false">DHIS2_Raw_Data!J54/DHIS2_Raw_Data!F54</f>
        <v>0.87403286655157</v>
      </c>
      <c r="D22" s="7" t="n">
        <f aca="false">DHIS2_Raw_Data!J55/DHIS2_Raw_Data!F55</f>
        <v>0.84235153990131</v>
      </c>
    </row>
    <row r="23" customFormat="false" ht="15" hidden="false" customHeight="false" outlineLevel="0" collapsed="false">
      <c r="A23" s="0" t="s">
        <v>36</v>
      </c>
      <c r="B23" s="7" t="n">
        <f aca="false">DHIS2_Raw_Data!J56/DHIS2_Raw_Data!F56</f>
        <v>0.974132026763606</v>
      </c>
      <c r="C23" s="7" t="n">
        <f aca="false">DHIS2_Raw_Data!J57/DHIS2_Raw_Data!F57</f>
        <v>0.877160998302634</v>
      </c>
      <c r="D23" s="7" t="n">
        <f aca="false">DHIS2_Raw_Data!J58/DHIS2_Raw_Data!F58</f>
        <v>0.860231528770855</v>
      </c>
    </row>
    <row r="24" customFormat="false" ht="15" hidden="false" customHeight="false" outlineLevel="0" collapsed="false">
      <c r="A24" s="0" t="s">
        <v>37</v>
      </c>
      <c r="B24" s="7" t="n">
        <f aca="false">DHIS2_Raw_Data!J59/DHIS2_Raw_Data!F59</f>
        <v>0.873223929114455</v>
      </c>
      <c r="C24" s="6" t="n">
        <f aca="false">DHIS2_Raw_Data!J60/DHIS2_Raw_Data!F60</f>
        <v>0.771444520250574</v>
      </c>
      <c r="D24" s="7" t="n">
        <f aca="false">DHIS2_Raw_Data!J61/DHIS2_Raw_Data!F61</f>
        <v>0.802358369648808</v>
      </c>
    </row>
    <row r="25" customFormat="false" ht="15" hidden="false" customHeight="false" outlineLevel="0" collapsed="false">
      <c r="A25" s="0" t="s">
        <v>38</v>
      </c>
      <c r="B25" s="7" t="n">
        <f aca="false">DHIS2_Raw_Data!J62/DHIS2_Raw_Data!F62</f>
        <v>0.849557522123894</v>
      </c>
      <c r="C25" s="6" t="n">
        <f aca="false">DHIS2_Raw_Data!J63/DHIS2_Raw_Data!F63</f>
        <v>0.775212181727409</v>
      </c>
      <c r="D25" s="6" t="n">
        <f aca="false">DHIS2_Raw_Data!J64/DHIS2_Raw_Data!F64</f>
        <v>0.766804194602029</v>
      </c>
    </row>
    <row r="26" customFormat="false" ht="15" hidden="false" customHeight="false" outlineLevel="0" collapsed="false">
      <c r="A26" s="0" t="s">
        <v>39</v>
      </c>
      <c r="B26" s="7" t="n">
        <f aca="false">DHIS2_Raw_Data!J65/DHIS2_Raw_Data!F65</f>
        <v>0.956764368415563</v>
      </c>
      <c r="C26" s="7" t="n">
        <f aca="false">DHIS2_Raw_Data!J66/DHIS2_Raw_Data!F66</f>
        <v>0.879837817913749</v>
      </c>
      <c r="D26" s="7" t="n">
        <f aca="false">DHIS2_Raw_Data!J67/DHIS2_Raw_Data!F67</f>
        <v>0.866122720839231</v>
      </c>
    </row>
    <row r="27" customFormat="false" ht="15" hidden="false" customHeight="false" outlineLevel="0" collapsed="false">
      <c r="A27" s="0" t="s">
        <v>40</v>
      </c>
      <c r="B27" s="7" t="n">
        <f aca="false">DHIS2_Raw_Data!J68/DHIS2_Raw_Data!F68</f>
        <v>1.01544521612937</v>
      </c>
      <c r="C27" s="7" t="n">
        <f aca="false">DHIS2_Raw_Data!J69/DHIS2_Raw_Data!F69</f>
        <v>0.936176875861205</v>
      </c>
      <c r="D27" s="7" t="n">
        <f aca="false">DHIS2_Raw_Data!J70/DHIS2_Raw_Data!F70</f>
        <v>0.916847192134644</v>
      </c>
    </row>
    <row r="28" customFormat="false" ht="15" hidden="false" customHeight="false" outlineLevel="0" collapsed="false">
      <c r="A28" s="0" t="s">
        <v>41</v>
      </c>
      <c r="B28" s="7" t="n">
        <f aca="false">DHIS2_Raw_Data!J71/DHIS2_Raw_Data!F71</f>
        <v>0.90157339986761</v>
      </c>
      <c r="C28" s="7" t="n">
        <f aca="false">DHIS2_Raw_Data!J72/DHIS2_Raw_Data!F72</f>
        <v>0.806078503752922</v>
      </c>
      <c r="D28" s="7" t="n">
        <f aca="false">DHIS2_Raw_Data!J73/DHIS2_Raw_Data!F73</f>
        <v>0.834719680585593</v>
      </c>
    </row>
    <row r="29" customFormat="false" ht="15" hidden="false" customHeight="false" outlineLevel="0" collapsed="false">
      <c r="A29" s="0" t="s">
        <v>42</v>
      </c>
      <c r="B29" s="7" t="n">
        <f aca="false">DHIS2_Raw_Data!J74/DHIS2_Raw_Data!F74</f>
        <v>0.873984575835476</v>
      </c>
      <c r="C29" s="7" t="n">
        <f aca="false">DHIS2_Raw_Data!J75/DHIS2_Raw_Data!F75</f>
        <v>0.813076176613295</v>
      </c>
      <c r="D29" s="7" t="n">
        <f aca="false">DHIS2_Raw_Data!J76/DHIS2_Raw_Data!F76</f>
        <v>0.804769001490313</v>
      </c>
    </row>
    <row r="30" customFormat="false" ht="15" hidden="false" customHeight="false" outlineLevel="0" collapsed="false">
      <c r="A30" s="0" t="s">
        <v>43</v>
      </c>
      <c r="B30" s="7" t="n">
        <f aca="false">DHIS2_Raw_Data!J77/DHIS2_Raw_Data!F77</f>
        <v>0.99747070665359</v>
      </c>
      <c r="C30" s="7" t="n">
        <f aca="false">DHIS2_Raw_Data!J78/DHIS2_Raw_Data!F78</f>
        <v>0.927375329693921</v>
      </c>
      <c r="D30" s="7" t="n">
        <f aca="false">DHIS2_Raw_Data!J79/DHIS2_Raw_Data!F79</f>
        <v>0.927054478301016</v>
      </c>
    </row>
    <row r="31" customFormat="false" ht="15" hidden="false" customHeight="false" outlineLevel="0" collapsed="false">
      <c r="A31" s="0" t="s">
        <v>44</v>
      </c>
      <c r="B31" s="7" t="n">
        <f aca="false">DHIS2_Raw_Data!J80/DHIS2_Raw_Data!F80</f>
        <v>1.02596602863447</v>
      </c>
      <c r="C31" s="7" t="n">
        <f aca="false">DHIS2_Raw_Data!J81/DHIS2_Raw_Data!F81</f>
        <v>0.969190568789499</v>
      </c>
      <c r="D31" s="7" t="n">
        <f aca="false">DHIS2_Raw_Data!J82/DHIS2_Raw_Data!F82</f>
        <v>0.986581096849475</v>
      </c>
    </row>
    <row r="32" customFormat="false" ht="15" hidden="false" customHeight="false" outlineLevel="0" collapsed="false">
      <c r="A32" s="0" t="s">
        <v>45</v>
      </c>
      <c r="B32" s="7" t="n">
        <f aca="false">DHIS2_Raw_Data!J83/DHIS2_Raw_Data!F83</f>
        <v>0.902469885615953</v>
      </c>
      <c r="C32" s="7" t="n">
        <f aca="false">DHIS2_Raw_Data!J84/DHIS2_Raw_Data!F84</f>
        <v>0.868307766931425</v>
      </c>
      <c r="D32" s="7" t="n">
        <f aca="false">DHIS2_Raw_Data!J85/DHIS2_Raw_Data!F85</f>
        <v>0.851078054487715</v>
      </c>
    </row>
    <row r="34" customFormat="false" ht="15" hidden="false" customHeight="false" outlineLevel="0" collapsed="false">
      <c r="A34" s="8" t="s">
        <v>48</v>
      </c>
      <c r="B34" s="9" t="n">
        <f aca="false">AVERAGE(B5:B32)</f>
        <v>0.860520743855701</v>
      </c>
      <c r="C34" s="9" t="n">
        <f aca="false">AVERAGE(C5:C32)</f>
        <v>0.79877388851142</v>
      </c>
      <c r="D34" s="9" t="n">
        <f aca="false">AVERAGE(D5:D32)</f>
        <v>0.750985174976158</v>
      </c>
    </row>
    <row r="35" customFormat="false" ht="15" hidden="false" customHeight="false" outlineLevel="0" collapsed="false">
      <c r="A35" s="8" t="s">
        <v>49</v>
      </c>
      <c r="B35" s="9" t="n">
        <f aca="false">MIN(B5:B32)</f>
        <v>0.692264511058718</v>
      </c>
      <c r="C35" s="9" t="n">
        <f aca="false">MIN(C5:C32)</f>
        <v>0.637027520454392</v>
      </c>
      <c r="D35" s="9" t="n">
        <f aca="false">MIN(D5:D32)</f>
        <v>0.534020252265056</v>
      </c>
    </row>
    <row r="36" customFormat="false" ht="15" hidden="false" customHeight="false" outlineLevel="0" collapsed="false">
      <c r="A36" s="8" t="s">
        <v>50</v>
      </c>
      <c r="B36" s="9" t="n">
        <f aca="false">MAX(B5:B32)</f>
        <v>1.02596602863447</v>
      </c>
      <c r="C36" s="9" t="n">
        <f aca="false">MAX(C5:C32)</f>
        <v>0.969190568789499</v>
      </c>
      <c r="D36" s="9" t="n">
        <f aca="false">MAX(D5:D32)</f>
        <v>0.986581096849475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4" min="2" style="0" width="14"/>
    <col collapsed="false" customWidth="true" hidden="false" outlineLevel="0" max="5" min="5" style="0" width="18"/>
  </cols>
  <sheetData>
    <row r="1" customFormat="false" ht="16.15" hidden="false" customHeight="false" outlineLevel="0" collapsed="false">
      <c r="A1" s="10" t="s">
        <v>51</v>
      </c>
    </row>
    <row r="3" customFormat="false" ht="15" hidden="false" customHeight="false" outlineLevel="0" collapsed="false">
      <c r="A3" s="11" t="s">
        <v>0</v>
      </c>
      <c r="B3" s="11" t="s">
        <v>52</v>
      </c>
      <c r="C3" s="11" t="s">
        <v>53</v>
      </c>
      <c r="D3" s="11" t="s">
        <v>54</v>
      </c>
      <c r="E3" s="11" t="s">
        <v>55</v>
      </c>
    </row>
    <row r="4" customFormat="false" ht="15" hidden="false" customHeight="false" outlineLevel="0" collapsed="false">
      <c r="A4" s="0" t="s">
        <v>12</v>
      </c>
      <c r="B4" s="0" t="n">
        <f aca="false">DHIS2_Raw_Data!K2</f>
        <v>4</v>
      </c>
      <c r="C4" s="0" t="n">
        <f aca="false">DHIS2_Raw_Data!K3</f>
        <v>3</v>
      </c>
      <c r="D4" s="0" t="n">
        <f aca="false">DHIS2_Raw_Data!K4</f>
        <v>5</v>
      </c>
      <c r="E4" s="0" t="n">
        <f aca="false">B4+C4+D4</f>
        <v>12</v>
      </c>
    </row>
    <row r="5" customFormat="false" ht="15" hidden="false" customHeight="false" outlineLevel="0" collapsed="false">
      <c r="A5" s="0" t="s">
        <v>19</v>
      </c>
      <c r="B5" s="0" t="n">
        <f aca="false">DHIS2_Raw_Data!K5</f>
        <v>4</v>
      </c>
      <c r="C5" s="0" t="n">
        <f aca="false">DHIS2_Raw_Data!K6</f>
        <v>2</v>
      </c>
      <c r="D5" s="0" t="n">
        <f aca="false">DHIS2_Raw_Data!K7</f>
        <v>6</v>
      </c>
      <c r="E5" s="0" t="n">
        <f aca="false">B5+C5+D5</f>
        <v>12</v>
      </c>
    </row>
    <row r="6" customFormat="false" ht="15" hidden="false" customHeight="false" outlineLevel="0" collapsed="false">
      <c r="A6" s="0" t="s">
        <v>20</v>
      </c>
      <c r="B6" s="0" t="n">
        <f aca="false">DHIS2_Raw_Data!K8</f>
        <v>1</v>
      </c>
      <c r="C6" s="0" t="n">
        <f aca="false">DHIS2_Raw_Data!K9</f>
        <v>4</v>
      </c>
      <c r="D6" s="0" t="n">
        <f aca="false">DHIS2_Raw_Data!K10</f>
        <v>5</v>
      </c>
      <c r="E6" s="0" t="n">
        <f aca="false">B6+C6+D6</f>
        <v>10</v>
      </c>
    </row>
    <row r="7" customFormat="false" ht="15" hidden="false" customHeight="false" outlineLevel="0" collapsed="false">
      <c r="A7" s="0" t="s">
        <v>21</v>
      </c>
      <c r="B7" s="0" t="n">
        <f aca="false">DHIS2_Raw_Data!K11</f>
        <v>1</v>
      </c>
      <c r="C7" s="0" t="n">
        <f aca="false">DHIS2_Raw_Data!K12</f>
        <v>4</v>
      </c>
      <c r="D7" s="0" t="n">
        <f aca="false">DHIS2_Raw_Data!K13</f>
        <v>5</v>
      </c>
      <c r="E7" s="0" t="n">
        <f aca="false">B7+C7+D7</f>
        <v>10</v>
      </c>
    </row>
    <row r="8" customFormat="false" ht="15" hidden="false" customHeight="false" outlineLevel="0" collapsed="false">
      <c r="A8" s="0" t="s">
        <v>22</v>
      </c>
      <c r="B8" s="0" t="n">
        <f aca="false">DHIS2_Raw_Data!K14</f>
        <v>4</v>
      </c>
      <c r="C8" s="0" t="n">
        <f aca="false">DHIS2_Raw_Data!K15</f>
        <v>3</v>
      </c>
      <c r="D8" s="0" t="n">
        <f aca="false">DHIS2_Raw_Data!K16</f>
        <v>4</v>
      </c>
      <c r="E8" s="0" t="n">
        <f aca="false">B8+C8+D8</f>
        <v>11</v>
      </c>
    </row>
    <row r="9" customFormat="false" ht="15" hidden="false" customHeight="false" outlineLevel="0" collapsed="false">
      <c r="A9" s="0" t="s">
        <v>23</v>
      </c>
      <c r="B9" s="0" t="n">
        <f aca="false">DHIS2_Raw_Data!K17</f>
        <v>2</v>
      </c>
      <c r="C9" s="0" t="n">
        <f aca="false">DHIS2_Raw_Data!K18</f>
        <v>3</v>
      </c>
      <c r="D9" s="0" t="n">
        <f aca="false">DHIS2_Raw_Data!K19</f>
        <v>4</v>
      </c>
      <c r="E9" s="0" t="n">
        <f aca="false">B9+C9+D9</f>
        <v>9</v>
      </c>
    </row>
    <row r="10" customFormat="false" ht="15" hidden="false" customHeight="false" outlineLevel="0" collapsed="false">
      <c r="A10" s="0" t="s">
        <v>24</v>
      </c>
      <c r="B10" s="0" t="n">
        <f aca="false">DHIS2_Raw_Data!K20</f>
        <v>3</v>
      </c>
      <c r="C10" s="0" t="n">
        <f aca="false">DHIS2_Raw_Data!K21</f>
        <v>4</v>
      </c>
      <c r="D10" s="0" t="n">
        <f aca="false">DHIS2_Raw_Data!K22</f>
        <v>4</v>
      </c>
      <c r="E10" s="0" t="n">
        <f aca="false">B10+C10+D10</f>
        <v>11</v>
      </c>
    </row>
    <row r="11" customFormat="false" ht="15" hidden="false" customHeight="false" outlineLevel="0" collapsed="false">
      <c r="A11" s="0" t="s">
        <v>25</v>
      </c>
      <c r="B11" s="0" t="n">
        <f aca="false">DHIS2_Raw_Data!K23</f>
        <v>3</v>
      </c>
      <c r="C11" s="0" t="n">
        <f aca="false">DHIS2_Raw_Data!K24</f>
        <v>3</v>
      </c>
      <c r="D11" s="0" t="n">
        <f aca="false">DHIS2_Raw_Data!K25</f>
        <v>4</v>
      </c>
      <c r="E11" s="0" t="n">
        <f aca="false">B11+C11+D11</f>
        <v>10</v>
      </c>
    </row>
    <row r="12" customFormat="false" ht="15" hidden="false" customHeight="false" outlineLevel="0" collapsed="false">
      <c r="A12" s="0" t="s">
        <v>26</v>
      </c>
      <c r="B12" s="0" t="n">
        <f aca="false">DHIS2_Raw_Data!K26</f>
        <v>4</v>
      </c>
      <c r="C12" s="0" t="n">
        <f aca="false">DHIS2_Raw_Data!K27</f>
        <v>2</v>
      </c>
      <c r="D12" s="0" t="n">
        <f aca="false">DHIS2_Raw_Data!K28</f>
        <v>5</v>
      </c>
      <c r="E12" s="0" t="n">
        <f aca="false">B12+C12+D12</f>
        <v>11</v>
      </c>
    </row>
    <row r="13" customFormat="false" ht="15" hidden="false" customHeight="false" outlineLevel="0" collapsed="false">
      <c r="A13" s="0" t="s">
        <v>27</v>
      </c>
      <c r="B13" s="0" t="n">
        <f aca="false">DHIS2_Raw_Data!K29</f>
        <v>2</v>
      </c>
      <c r="C13" s="0" t="n">
        <f aca="false">DHIS2_Raw_Data!K30</f>
        <v>4</v>
      </c>
      <c r="D13" s="0" t="n">
        <f aca="false">DHIS2_Raw_Data!K31</f>
        <v>4</v>
      </c>
      <c r="E13" s="0" t="n">
        <f aca="false">B13+C13+D13</f>
        <v>10</v>
      </c>
    </row>
    <row r="14" customFormat="false" ht="15" hidden="false" customHeight="false" outlineLevel="0" collapsed="false">
      <c r="A14" s="0" t="s">
        <v>28</v>
      </c>
      <c r="B14" s="0" t="n">
        <f aca="false">DHIS2_Raw_Data!K32</f>
        <v>4</v>
      </c>
      <c r="C14" s="0" t="n">
        <f aca="false">DHIS2_Raw_Data!K33</f>
        <v>2</v>
      </c>
      <c r="D14" s="0" t="n">
        <f aca="false">DHIS2_Raw_Data!K34</f>
        <v>6</v>
      </c>
      <c r="E14" s="0" t="n">
        <f aca="false">B14+C14+D14</f>
        <v>12</v>
      </c>
    </row>
    <row r="15" customFormat="false" ht="15" hidden="false" customHeight="false" outlineLevel="0" collapsed="false">
      <c r="A15" s="0" t="s">
        <v>29</v>
      </c>
      <c r="B15" s="0" t="n">
        <f aca="false">DHIS2_Raw_Data!K35</f>
        <v>4</v>
      </c>
      <c r="C15" s="0" t="n">
        <f aca="false">DHIS2_Raw_Data!K36</f>
        <v>3</v>
      </c>
      <c r="D15" s="0" t="n">
        <f aca="false">DHIS2_Raw_Data!K37</f>
        <v>3</v>
      </c>
      <c r="E15" s="0" t="n">
        <f aca="false">B15+C15+D15</f>
        <v>10</v>
      </c>
    </row>
    <row r="16" customFormat="false" ht="15" hidden="false" customHeight="false" outlineLevel="0" collapsed="false">
      <c r="A16" s="0" t="s">
        <v>30</v>
      </c>
      <c r="B16" s="0" t="n">
        <f aca="false">DHIS2_Raw_Data!K38</f>
        <v>2</v>
      </c>
      <c r="C16" s="0" t="n">
        <f aca="false">DHIS2_Raw_Data!K39</f>
        <v>3</v>
      </c>
      <c r="D16" s="0" t="n">
        <f aca="false">DHIS2_Raw_Data!K40</f>
        <v>3</v>
      </c>
      <c r="E16" s="0" t="n">
        <f aca="false">B16+C16+D16</f>
        <v>8</v>
      </c>
    </row>
    <row r="17" customFormat="false" ht="15" hidden="false" customHeight="false" outlineLevel="0" collapsed="false">
      <c r="A17" s="0" t="s">
        <v>31</v>
      </c>
      <c r="B17" s="0" t="n">
        <f aca="false">DHIS2_Raw_Data!K41</f>
        <v>2</v>
      </c>
      <c r="C17" s="0" t="n">
        <f aca="false">DHIS2_Raw_Data!K42</f>
        <v>3</v>
      </c>
      <c r="D17" s="0" t="n">
        <f aca="false">DHIS2_Raw_Data!K43</f>
        <v>4</v>
      </c>
      <c r="E17" s="0" t="n">
        <f aca="false">B17+C17+D17</f>
        <v>9</v>
      </c>
    </row>
    <row r="18" customFormat="false" ht="15" hidden="false" customHeight="false" outlineLevel="0" collapsed="false">
      <c r="A18" s="0" t="s">
        <v>32</v>
      </c>
      <c r="B18" s="0" t="n">
        <f aca="false">DHIS2_Raw_Data!K44</f>
        <v>5</v>
      </c>
      <c r="C18" s="0" t="n">
        <f aca="false">DHIS2_Raw_Data!K45</f>
        <v>4</v>
      </c>
      <c r="D18" s="0" t="n">
        <f aca="false">DHIS2_Raw_Data!K46</f>
        <v>4</v>
      </c>
      <c r="E18" s="0" t="n">
        <f aca="false">B18+C18+D18</f>
        <v>13</v>
      </c>
    </row>
    <row r="19" customFormat="false" ht="15" hidden="false" customHeight="false" outlineLevel="0" collapsed="false">
      <c r="A19" s="0" t="s">
        <v>33</v>
      </c>
      <c r="B19" s="0" t="n">
        <f aca="false">DHIS2_Raw_Data!K47</f>
        <v>3</v>
      </c>
      <c r="C19" s="0" t="n">
        <f aca="false">DHIS2_Raw_Data!K48</f>
        <v>2</v>
      </c>
      <c r="D19" s="0" t="n">
        <f aca="false">DHIS2_Raw_Data!K49</f>
        <v>4</v>
      </c>
      <c r="E19" s="0" t="n">
        <f aca="false">B19+C19+D19</f>
        <v>9</v>
      </c>
    </row>
    <row r="20" customFormat="false" ht="15" hidden="false" customHeight="false" outlineLevel="0" collapsed="false">
      <c r="A20" s="0" t="s">
        <v>34</v>
      </c>
      <c r="B20" s="0" t="n">
        <f aca="false">DHIS2_Raw_Data!K50</f>
        <v>5</v>
      </c>
      <c r="C20" s="0" t="n">
        <f aca="false">DHIS2_Raw_Data!K51</f>
        <v>5</v>
      </c>
      <c r="D20" s="0" t="n">
        <f aca="false">DHIS2_Raw_Data!K52</f>
        <v>2</v>
      </c>
      <c r="E20" s="0" t="n">
        <f aca="false">B20+C20+D20</f>
        <v>12</v>
      </c>
    </row>
    <row r="21" customFormat="false" ht="15" hidden="false" customHeight="false" outlineLevel="0" collapsed="false">
      <c r="A21" s="0" t="s">
        <v>35</v>
      </c>
      <c r="B21" s="0" t="n">
        <f aca="false">DHIS2_Raw_Data!K53</f>
        <v>4</v>
      </c>
      <c r="C21" s="0" t="n">
        <f aca="false">DHIS2_Raw_Data!K54</f>
        <v>4</v>
      </c>
      <c r="D21" s="0" t="n">
        <f aca="false">DHIS2_Raw_Data!K55</f>
        <v>4</v>
      </c>
      <c r="E21" s="0" t="n">
        <f aca="false">B21+C21+D21</f>
        <v>12</v>
      </c>
    </row>
    <row r="22" customFormat="false" ht="15" hidden="false" customHeight="false" outlineLevel="0" collapsed="false">
      <c r="A22" s="0" t="s">
        <v>36</v>
      </c>
      <c r="B22" s="0" t="n">
        <f aca="false">DHIS2_Raw_Data!K56</f>
        <v>4</v>
      </c>
      <c r="C22" s="0" t="n">
        <f aca="false">DHIS2_Raw_Data!K57</f>
        <v>3</v>
      </c>
      <c r="D22" s="0" t="n">
        <f aca="false">DHIS2_Raw_Data!K58</f>
        <v>3</v>
      </c>
      <c r="E22" s="0" t="n">
        <f aca="false">B22+C22+D22</f>
        <v>10</v>
      </c>
    </row>
    <row r="23" customFormat="false" ht="15" hidden="false" customHeight="false" outlineLevel="0" collapsed="false">
      <c r="A23" s="0" t="s">
        <v>37</v>
      </c>
      <c r="B23" s="0" t="n">
        <f aca="false">DHIS2_Raw_Data!K59</f>
        <v>6</v>
      </c>
      <c r="C23" s="0" t="n">
        <f aca="false">DHIS2_Raw_Data!K60</f>
        <v>3</v>
      </c>
      <c r="D23" s="0" t="n">
        <f aca="false">DHIS2_Raw_Data!K61</f>
        <v>6</v>
      </c>
      <c r="E23" s="0" t="n">
        <f aca="false">B23+C23+D23</f>
        <v>15</v>
      </c>
    </row>
    <row r="24" customFormat="false" ht="15" hidden="false" customHeight="false" outlineLevel="0" collapsed="false">
      <c r="A24" s="0" t="s">
        <v>38</v>
      </c>
      <c r="B24" s="0" t="n">
        <f aca="false">DHIS2_Raw_Data!K62</f>
        <v>5</v>
      </c>
      <c r="C24" s="0" t="n">
        <f aca="false">DHIS2_Raw_Data!K63</f>
        <v>2</v>
      </c>
      <c r="D24" s="0" t="n">
        <f aca="false">DHIS2_Raw_Data!K64</f>
        <v>3</v>
      </c>
      <c r="E24" s="0" t="n">
        <f aca="false">B24+C24+D24</f>
        <v>10</v>
      </c>
    </row>
    <row r="25" customFormat="false" ht="15" hidden="false" customHeight="false" outlineLevel="0" collapsed="false">
      <c r="A25" s="0" t="s">
        <v>39</v>
      </c>
      <c r="B25" s="0" t="n">
        <f aca="false">DHIS2_Raw_Data!K65</f>
        <v>4</v>
      </c>
      <c r="C25" s="0" t="n">
        <f aca="false">DHIS2_Raw_Data!K66</f>
        <v>2</v>
      </c>
      <c r="D25" s="0" t="n">
        <f aca="false">DHIS2_Raw_Data!K67</f>
        <v>5</v>
      </c>
      <c r="E25" s="0" t="n">
        <f aca="false">B25+C25+D25</f>
        <v>11</v>
      </c>
    </row>
    <row r="26" customFormat="false" ht="15" hidden="false" customHeight="false" outlineLevel="0" collapsed="false">
      <c r="A26" s="0" t="s">
        <v>40</v>
      </c>
      <c r="B26" s="0" t="n">
        <f aca="false">DHIS2_Raw_Data!K68</f>
        <v>5</v>
      </c>
      <c r="C26" s="0" t="n">
        <f aca="false">DHIS2_Raw_Data!K69</f>
        <v>4</v>
      </c>
      <c r="D26" s="0" t="n">
        <f aca="false">DHIS2_Raw_Data!K70</f>
        <v>5</v>
      </c>
      <c r="E26" s="0" t="n">
        <f aca="false">B26+C26+D26</f>
        <v>14</v>
      </c>
    </row>
    <row r="27" customFormat="false" ht="15" hidden="false" customHeight="false" outlineLevel="0" collapsed="false">
      <c r="A27" s="0" t="s">
        <v>41</v>
      </c>
      <c r="B27" s="0" t="n">
        <f aca="false">DHIS2_Raw_Data!K71</f>
        <v>4</v>
      </c>
      <c r="C27" s="0" t="n">
        <f aca="false">DHIS2_Raw_Data!K72</f>
        <v>2</v>
      </c>
      <c r="D27" s="0" t="n">
        <f aca="false">DHIS2_Raw_Data!K73</f>
        <v>5</v>
      </c>
      <c r="E27" s="0" t="n">
        <f aca="false">B27+C27+D27</f>
        <v>11</v>
      </c>
    </row>
    <row r="28" customFormat="false" ht="15" hidden="false" customHeight="false" outlineLevel="0" collapsed="false">
      <c r="A28" s="0" t="s">
        <v>42</v>
      </c>
      <c r="B28" s="0" t="n">
        <f aca="false">DHIS2_Raw_Data!K74</f>
        <v>3</v>
      </c>
      <c r="C28" s="0" t="n">
        <f aca="false">DHIS2_Raw_Data!K75</f>
        <v>4</v>
      </c>
      <c r="D28" s="0" t="n">
        <f aca="false">DHIS2_Raw_Data!K76</f>
        <v>7</v>
      </c>
      <c r="E28" s="0" t="n">
        <f aca="false">B28+C28+D28</f>
        <v>14</v>
      </c>
    </row>
    <row r="29" customFormat="false" ht="15" hidden="false" customHeight="false" outlineLevel="0" collapsed="false">
      <c r="A29" s="0" t="s">
        <v>43</v>
      </c>
      <c r="B29" s="0" t="n">
        <f aca="false">DHIS2_Raw_Data!K77</f>
        <v>4</v>
      </c>
      <c r="C29" s="0" t="n">
        <f aca="false">DHIS2_Raw_Data!K78</f>
        <v>3</v>
      </c>
      <c r="D29" s="0" t="n">
        <f aca="false">DHIS2_Raw_Data!K79</f>
        <v>5</v>
      </c>
      <c r="E29" s="0" t="n">
        <f aca="false">B29+C29+D29</f>
        <v>12</v>
      </c>
    </row>
    <row r="30" customFormat="false" ht="15" hidden="false" customHeight="false" outlineLevel="0" collapsed="false">
      <c r="A30" s="0" t="s">
        <v>44</v>
      </c>
      <c r="B30" s="0" t="n">
        <f aca="false">DHIS2_Raw_Data!K80</f>
        <v>4</v>
      </c>
      <c r="C30" s="0" t="n">
        <f aca="false">DHIS2_Raw_Data!K81</f>
        <v>3</v>
      </c>
      <c r="D30" s="0" t="n">
        <f aca="false">DHIS2_Raw_Data!K82</f>
        <v>4</v>
      </c>
      <c r="E30" s="0" t="n">
        <f aca="false">B30+C30+D30</f>
        <v>11</v>
      </c>
    </row>
    <row r="31" customFormat="false" ht="15" hidden="false" customHeight="false" outlineLevel="0" collapsed="false">
      <c r="A31" s="0" t="s">
        <v>45</v>
      </c>
      <c r="B31" s="0" t="n">
        <f aca="false">DHIS2_Raw_Data!K83</f>
        <v>3</v>
      </c>
      <c r="C31" s="0" t="n">
        <f aca="false">DHIS2_Raw_Data!K84</f>
        <v>2</v>
      </c>
      <c r="D31" s="0" t="n">
        <f aca="false">DHIS2_Raw_Data!K85</f>
        <v>3</v>
      </c>
      <c r="E31" s="0" t="n">
        <f aca="false">B31+C31+D31</f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4" min="2" style="0" width="18"/>
  </cols>
  <sheetData>
    <row r="1" customFormat="false" ht="16.15" hidden="false" customHeight="false" outlineLevel="0" collapsed="false">
      <c r="A1" s="12" t="s">
        <v>56</v>
      </c>
    </row>
    <row r="2" customFormat="false" ht="15" hidden="false" customHeight="false" outlineLevel="0" collapsed="false">
      <c r="A2" s="3" t="s">
        <v>57</v>
      </c>
    </row>
    <row r="4" customFormat="false" ht="15" hidden="false" customHeight="false" outlineLevel="0" collapsed="false">
      <c r="A4" s="13" t="s">
        <v>0</v>
      </c>
      <c r="B4" s="13" t="s">
        <v>58</v>
      </c>
      <c r="C4" s="13" t="s">
        <v>59</v>
      </c>
      <c r="D4" s="13" t="s">
        <v>60</v>
      </c>
    </row>
    <row r="5" customFormat="false" ht="15" hidden="false" customHeight="false" outlineLevel="0" collapsed="false">
      <c r="A5" s="0" t="s">
        <v>12</v>
      </c>
      <c r="B5" s="9" t="n">
        <f aca="false">(DHIS2_Raw_Data!H2-DHIS2_Raw_Data!J2)/DHIS2_Raw_Data!H2</f>
        <v>0.11857622757487</v>
      </c>
      <c r="C5" s="9" t="n">
        <f aca="false">(DHIS2_Raw_Data!H3-DHIS2_Raw_Data!J3)/DHIS2_Raw_Data!H3</f>
        <v>0.147729328749774</v>
      </c>
      <c r="D5" s="9" t="n">
        <f aca="false">(DHIS2_Raw_Data!H4-DHIS2_Raw_Data!J4)/DHIS2_Raw_Data!H4</f>
        <v>0.109729009329187</v>
      </c>
    </row>
    <row r="6" customFormat="false" ht="15" hidden="false" customHeight="false" outlineLevel="0" collapsed="false">
      <c r="A6" s="0" t="s">
        <v>19</v>
      </c>
      <c r="B6" s="9" t="n">
        <f aca="false">(DHIS2_Raw_Data!H5-DHIS2_Raw_Data!J5)/DHIS2_Raw_Data!H5</f>
        <v>0.102564102564103</v>
      </c>
      <c r="C6" s="9" t="n">
        <f aca="false">(DHIS2_Raw_Data!H6-DHIS2_Raw_Data!J6)/DHIS2_Raw_Data!H6</f>
        <v>0.103782173301332</v>
      </c>
      <c r="D6" s="9" t="n">
        <f aca="false">(DHIS2_Raw_Data!H7-DHIS2_Raw_Data!J7)/DHIS2_Raw_Data!H7</f>
        <v>0.104684934966536</v>
      </c>
    </row>
    <row r="7" customFormat="false" ht="15" hidden="false" customHeight="false" outlineLevel="0" collapsed="false">
      <c r="A7" s="0" t="s">
        <v>20</v>
      </c>
      <c r="B7" s="9" t="n">
        <f aca="false">(DHIS2_Raw_Data!H8-DHIS2_Raw_Data!J8)/DHIS2_Raw_Data!H8</f>
        <v>0.0821010950937326</v>
      </c>
      <c r="C7" s="9" t="n">
        <f aca="false">(DHIS2_Raw_Data!H9-DHIS2_Raw_Data!J9)/DHIS2_Raw_Data!H9</f>
        <v>0.0987625676720804</v>
      </c>
      <c r="D7" s="9" t="n">
        <f aca="false">(DHIS2_Raw_Data!H10-DHIS2_Raw_Data!J10)/DHIS2_Raw_Data!H10</f>
        <v>0.128878573173711</v>
      </c>
    </row>
    <row r="8" customFormat="false" ht="15" hidden="false" customHeight="false" outlineLevel="0" collapsed="false">
      <c r="A8" s="0" t="s">
        <v>21</v>
      </c>
      <c r="B8" s="9" t="n">
        <f aca="false">(DHIS2_Raw_Data!H11-DHIS2_Raw_Data!J11)/DHIS2_Raw_Data!H11</f>
        <v>0.116190216278911</v>
      </c>
      <c r="C8" s="9" t="n">
        <f aca="false">(DHIS2_Raw_Data!H12-DHIS2_Raw_Data!J12)/DHIS2_Raw_Data!H12</f>
        <v>0.102958680496514</v>
      </c>
      <c r="D8" s="9" t="n">
        <f aca="false">(DHIS2_Raw_Data!H13-DHIS2_Raw_Data!J13)/DHIS2_Raw_Data!H13</f>
        <v>0.102876254180602</v>
      </c>
    </row>
    <row r="9" customFormat="false" ht="15" hidden="false" customHeight="false" outlineLevel="0" collapsed="false">
      <c r="A9" s="0" t="s">
        <v>22</v>
      </c>
      <c r="B9" s="9" t="n">
        <f aca="false">(DHIS2_Raw_Data!H14-DHIS2_Raw_Data!J14)/DHIS2_Raw_Data!H14</f>
        <v>0.0924103763847795</v>
      </c>
      <c r="C9" s="9" t="n">
        <f aca="false">(DHIS2_Raw_Data!H15-DHIS2_Raw_Data!J15)/DHIS2_Raw_Data!H15</f>
        <v>0.103236706384492</v>
      </c>
      <c r="D9" s="9" t="n">
        <f aca="false">(DHIS2_Raw_Data!H16-DHIS2_Raw_Data!J16)/DHIS2_Raw_Data!H16</f>
        <v>0.122443338861249</v>
      </c>
    </row>
    <row r="10" customFormat="false" ht="15" hidden="false" customHeight="false" outlineLevel="0" collapsed="false">
      <c r="A10" s="0" t="s">
        <v>23</v>
      </c>
      <c r="B10" s="9" t="n">
        <f aca="false">(DHIS2_Raw_Data!H17-DHIS2_Raw_Data!J17)/DHIS2_Raw_Data!H17</f>
        <v>0.133502968617472</v>
      </c>
      <c r="C10" s="9" t="n">
        <f aca="false">(DHIS2_Raw_Data!H18-DHIS2_Raw_Data!J18)/DHIS2_Raw_Data!H18</f>
        <v>0.134410152869916</v>
      </c>
      <c r="D10" s="9" t="n">
        <f aca="false">(DHIS2_Raw_Data!H19-DHIS2_Raw_Data!J19)/DHIS2_Raw_Data!H19</f>
        <v>0.102021845224262</v>
      </c>
    </row>
    <row r="11" customFormat="false" ht="15" hidden="false" customHeight="false" outlineLevel="0" collapsed="false">
      <c r="A11" s="0" t="s">
        <v>24</v>
      </c>
      <c r="B11" s="9" t="n">
        <f aca="false">(DHIS2_Raw_Data!H20-DHIS2_Raw_Data!J20)/DHIS2_Raw_Data!H20</f>
        <v>0.140957746478873</v>
      </c>
      <c r="C11" s="9" t="n">
        <f aca="false">(DHIS2_Raw_Data!H21-DHIS2_Raw_Data!J21)/DHIS2_Raw_Data!H21</f>
        <v>0.115052393089776</v>
      </c>
      <c r="D11" s="9" t="n">
        <f aca="false">(DHIS2_Raw_Data!H22-DHIS2_Raw_Data!J22)/DHIS2_Raw_Data!H22</f>
        <v>0.115085368489302</v>
      </c>
    </row>
    <row r="12" customFormat="false" ht="15" hidden="false" customHeight="false" outlineLevel="0" collapsed="false">
      <c r="A12" s="0" t="s">
        <v>25</v>
      </c>
      <c r="B12" s="9" t="n">
        <f aca="false">(DHIS2_Raw_Data!H23-DHIS2_Raw_Data!J23)/DHIS2_Raw_Data!H23</f>
        <v>0.0953091022056539</v>
      </c>
      <c r="C12" s="9" t="n">
        <f aca="false">(DHIS2_Raw_Data!H24-DHIS2_Raw_Data!J24)/DHIS2_Raw_Data!H24</f>
        <v>0.146898976982097</v>
      </c>
      <c r="D12" s="9" t="n">
        <f aca="false">(DHIS2_Raw_Data!H25-DHIS2_Raw_Data!J25)/DHIS2_Raw_Data!H25</f>
        <v>0.127330716388616</v>
      </c>
    </row>
    <row r="13" customFormat="false" ht="15" hidden="false" customHeight="false" outlineLevel="0" collapsed="false">
      <c r="A13" s="0" t="s">
        <v>26</v>
      </c>
      <c r="B13" s="9" t="n">
        <f aca="false">(DHIS2_Raw_Data!H26-DHIS2_Raw_Data!J26)/DHIS2_Raw_Data!H26</f>
        <v>0.121862904232738</v>
      </c>
      <c r="C13" s="9" t="n">
        <f aca="false">(DHIS2_Raw_Data!H27-DHIS2_Raw_Data!J27)/DHIS2_Raw_Data!H27</f>
        <v>0.121965083231831</v>
      </c>
      <c r="D13" s="9" t="n">
        <f aca="false">(DHIS2_Raw_Data!H28-DHIS2_Raw_Data!J28)/DHIS2_Raw_Data!H28</f>
        <v>0.0972222222222222</v>
      </c>
    </row>
    <row r="14" customFormat="false" ht="15" hidden="false" customHeight="false" outlineLevel="0" collapsed="false">
      <c r="A14" s="0" t="s">
        <v>27</v>
      </c>
      <c r="B14" s="9" t="n">
        <f aca="false">(DHIS2_Raw_Data!H29-DHIS2_Raw_Data!J29)/DHIS2_Raw_Data!H29</f>
        <v>0.148936170212766</v>
      </c>
      <c r="C14" s="9" t="n">
        <f aca="false">(DHIS2_Raw_Data!H30-DHIS2_Raw_Data!J30)/DHIS2_Raw_Data!H30</f>
        <v>0.0990441176470588</v>
      </c>
      <c r="D14" s="9" t="n">
        <f aca="false">(DHIS2_Raw_Data!H31-DHIS2_Raw_Data!J31)/DHIS2_Raw_Data!H31</f>
        <v>0.157784525180609</v>
      </c>
    </row>
    <row r="15" customFormat="false" ht="15" hidden="false" customHeight="false" outlineLevel="0" collapsed="false">
      <c r="A15" s="0" t="s">
        <v>28</v>
      </c>
      <c r="B15" s="9" t="n">
        <f aca="false">(DHIS2_Raw_Data!H32-DHIS2_Raw_Data!J32)/DHIS2_Raw_Data!H32</f>
        <v>0.141558173176276</v>
      </c>
      <c r="C15" s="9" t="n">
        <f aca="false">(DHIS2_Raw_Data!H33-DHIS2_Raw_Data!J33)/DHIS2_Raw_Data!H33</f>
        <v>0.117433658045012</v>
      </c>
      <c r="D15" s="9" t="n">
        <f aca="false">(DHIS2_Raw_Data!H34-DHIS2_Raw_Data!J34)/DHIS2_Raw_Data!H34</f>
        <v>0.0904000814415148</v>
      </c>
    </row>
    <row r="16" customFormat="false" ht="15" hidden="false" customHeight="false" outlineLevel="0" collapsed="false">
      <c r="A16" s="0" t="s">
        <v>29</v>
      </c>
      <c r="B16" s="9" t="n">
        <f aca="false">(DHIS2_Raw_Data!H35-DHIS2_Raw_Data!J35)/DHIS2_Raw_Data!H35</f>
        <v>0.0950496255251781</v>
      </c>
      <c r="C16" s="9" t="n">
        <f aca="false">(DHIS2_Raw_Data!H36-DHIS2_Raw_Data!J36)/DHIS2_Raw_Data!H36</f>
        <v>0.103855232100708</v>
      </c>
      <c r="D16" s="9" t="n">
        <f aca="false">(DHIS2_Raw_Data!H37-DHIS2_Raw_Data!J37)/DHIS2_Raw_Data!H37</f>
        <v>0.116221395558562</v>
      </c>
    </row>
    <row r="17" customFormat="false" ht="15" hidden="false" customHeight="false" outlineLevel="0" collapsed="false">
      <c r="A17" s="0" t="s">
        <v>30</v>
      </c>
      <c r="B17" s="9" t="n">
        <f aca="false">(DHIS2_Raw_Data!H38-DHIS2_Raw_Data!J38)/DHIS2_Raw_Data!H38</f>
        <v>0.14446793516561</v>
      </c>
      <c r="C17" s="9" t="n">
        <f aca="false">(DHIS2_Raw_Data!H39-DHIS2_Raw_Data!J39)/DHIS2_Raw_Data!H39</f>
        <v>0.13216026812919</v>
      </c>
      <c r="D17" s="9" t="n">
        <f aca="false">(DHIS2_Raw_Data!H40-DHIS2_Raw_Data!J40)/DHIS2_Raw_Data!H40</f>
        <v>0.104631412071113</v>
      </c>
    </row>
    <row r="18" customFormat="false" ht="15" hidden="false" customHeight="false" outlineLevel="0" collapsed="false">
      <c r="A18" s="0" t="s">
        <v>31</v>
      </c>
      <c r="B18" s="9" t="n">
        <f aca="false">(DHIS2_Raw_Data!H41-DHIS2_Raw_Data!J41)/DHIS2_Raw_Data!H41</f>
        <v>0.132328131590046</v>
      </c>
      <c r="C18" s="9" t="n">
        <f aca="false">(DHIS2_Raw_Data!H42-DHIS2_Raw_Data!J42)/DHIS2_Raw_Data!H42</f>
        <v>0.152540159331331</v>
      </c>
      <c r="D18" s="9" t="n">
        <f aca="false">(DHIS2_Raw_Data!H43-DHIS2_Raw_Data!J43)/DHIS2_Raw_Data!H43</f>
        <v>0.121104885481176</v>
      </c>
    </row>
    <row r="19" customFormat="false" ht="15" hidden="false" customHeight="false" outlineLevel="0" collapsed="false">
      <c r="A19" s="0" t="s">
        <v>32</v>
      </c>
      <c r="B19" s="9" t="n">
        <f aca="false">(DHIS2_Raw_Data!H44-DHIS2_Raw_Data!J44)/DHIS2_Raw_Data!H44</f>
        <v>0.149855351976856</v>
      </c>
      <c r="C19" s="9" t="n">
        <f aca="false">(DHIS2_Raw_Data!H45-DHIS2_Raw_Data!J45)/DHIS2_Raw_Data!H45</f>
        <v>0.103761178327196</v>
      </c>
      <c r="D19" s="9" t="n">
        <f aca="false">(DHIS2_Raw_Data!H46-DHIS2_Raw_Data!J46)/DHIS2_Raw_Data!H46</f>
        <v>0.128935965334617</v>
      </c>
    </row>
    <row r="20" customFormat="false" ht="15" hidden="false" customHeight="false" outlineLevel="0" collapsed="false">
      <c r="A20" s="0" t="s">
        <v>33</v>
      </c>
      <c r="B20" s="9" t="n">
        <f aca="false">(DHIS2_Raw_Data!H47-DHIS2_Raw_Data!J47)/DHIS2_Raw_Data!H47</f>
        <v>0.146556443665827</v>
      </c>
      <c r="C20" s="9" t="n">
        <f aca="false">(DHIS2_Raw_Data!H48-DHIS2_Raw_Data!J48)/DHIS2_Raw_Data!H48</f>
        <v>0.108876759551853</v>
      </c>
      <c r="D20" s="9" t="n">
        <f aca="false">(DHIS2_Raw_Data!H49-DHIS2_Raw_Data!J49)/DHIS2_Raw_Data!H49</f>
        <v>0.11304347826087</v>
      </c>
    </row>
    <row r="21" customFormat="false" ht="15" hidden="false" customHeight="false" outlineLevel="0" collapsed="false">
      <c r="A21" s="0" t="s">
        <v>34</v>
      </c>
      <c r="B21" s="9" t="n">
        <f aca="false">(DHIS2_Raw_Data!H50-DHIS2_Raw_Data!J50)/DHIS2_Raw_Data!H50</f>
        <v>0.117861413198201</v>
      </c>
      <c r="C21" s="9" t="n">
        <f aca="false">(DHIS2_Raw_Data!H51-DHIS2_Raw_Data!J51)/DHIS2_Raw_Data!H51</f>
        <v>0.1120347487456</v>
      </c>
      <c r="D21" s="9" t="n">
        <f aca="false">(DHIS2_Raw_Data!H52-DHIS2_Raw_Data!J52)/DHIS2_Raw_Data!H52</f>
        <v>0.120228618085324</v>
      </c>
    </row>
    <row r="22" customFormat="false" ht="15" hidden="false" customHeight="false" outlineLevel="0" collapsed="false">
      <c r="A22" s="0" t="s">
        <v>35</v>
      </c>
      <c r="B22" s="9" t="n">
        <f aca="false">(DHIS2_Raw_Data!H53-DHIS2_Raw_Data!J53)/DHIS2_Raw_Data!H53</f>
        <v>0.109956370410314</v>
      </c>
      <c r="C22" s="9" t="n">
        <f aca="false">(DHIS2_Raw_Data!H54-DHIS2_Raw_Data!J54)/DHIS2_Raw_Data!H54</f>
        <v>0.114357911105352</v>
      </c>
      <c r="D22" s="9" t="n">
        <f aca="false">(DHIS2_Raw_Data!H55-DHIS2_Raw_Data!J55)/DHIS2_Raw_Data!H55</f>
        <v>0.140761954352165</v>
      </c>
    </row>
    <row r="23" customFormat="false" ht="15" hidden="false" customHeight="false" outlineLevel="0" collapsed="false">
      <c r="A23" s="0" t="s">
        <v>36</v>
      </c>
      <c r="B23" s="9" t="n">
        <f aca="false">(DHIS2_Raw_Data!H56-DHIS2_Raw_Data!J56)/DHIS2_Raw_Data!H56</f>
        <v>0.116621279441976</v>
      </c>
      <c r="C23" s="9" t="n">
        <f aca="false">(DHIS2_Raw_Data!H57-DHIS2_Raw_Data!J57)/DHIS2_Raw_Data!H57</f>
        <v>0.115499207606973</v>
      </c>
      <c r="D23" s="9" t="n">
        <f aca="false">(DHIS2_Raw_Data!H58-DHIS2_Raw_Data!J58)/DHIS2_Raw_Data!H58</f>
        <v>0.120299442896936</v>
      </c>
    </row>
    <row r="24" customFormat="false" ht="15" hidden="false" customHeight="false" outlineLevel="0" collapsed="false">
      <c r="A24" s="0" t="s">
        <v>37</v>
      </c>
      <c r="B24" s="9" t="n">
        <f aca="false">(DHIS2_Raw_Data!H59-DHIS2_Raw_Data!J59)/DHIS2_Raw_Data!H59</f>
        <v>0.119668058565463</v>
      </c>
      <c r="C24" s="9" t="n">
        <f aca="false">(DHIS2_Raw_Data!H60-DHIS2_Raw_Data!J60)/DHIS2_Raw_Data!H60</f>
        <v>0.118059987236758</v>
      </c>
      <c r="D24" s="9" t="n">
        <f aca="false">(DHIS2_Raw_Data!H61-DHIS2_Raw_Data!J61)/DHIS2_Raw_Data!H61</f>
        <v>0.137661860593259</v>
      </c>
    </row>
    <row r="25" customFormat="false" ht="15" hidden="false" customHeight="false" outlineLevel="0" collapsed="false">
      <c r="A25" s="0" t="s">
        <v>38</v>
      </c>
      <c r="B25" s="9" t="n">
        <f aca="false">(DHIS2_Raw_Data!H62-DHIS2_Raw_Data!J62)/DHIS2_Raw_Data!H62</f>
        <v>0.120221246136327</v>
      </c>
      <c r="C25" s="9" t="n">
        <f aca="false">(DHIS2_Raw_Data!H63-DHIS2_Raw_Data!J63)/DHIS2_Raw_Data!H63</f>
        <v>0.137480905429801</v>
      </c>
      <c r="D25" s="9" t="n">
        <f aca="false">(DHIS2_Raw_Data!H64-DHIS2_Raw_Data!J64)/DHIS2_Raw_Data!H64</f>
        <v>0.0926566314076485</v>
      </c>
    </row>
    <row r="26" customFormat="false" ht="15" hidden="false" customHeight="false" outlineLevel="0" collapsed="false">
      <c r="A26" s="0" t="s">
        <v>39</v>
      </c>
      <c r="B26" s="9" t="n">
        <f aca="false">(DHIS2_Raw_Data!H65-DHIS2_Raw_Data!J65)/DHIS2_Raw_Data!H65</f>
        <v>0.0854479286105987</v>
      </c>
      <c r="C26" s="9" t="n">
        <f aca="false">(DHIS2_Raw_Data!H66-DHIS2_Raw_Data!J66)/DHIS2_Raw_Data!H66</f>
        <v>0.100659340659341</v>
      </c>
      <c r="D26" s="9" t="n">
        <f aca="false">(DHIS2_Raw_Data!H67-DHIS2_Raw_Data!J67)/DHIS2_Raw_Data!H67</f>
        <v>0.110854700854701</v>
      </c>
    </row>
    <row r="27" customFormat="false" ht="15" hidden="false" customHeight="false" outlineLevel="0" collapsed="false">
      <c r="A27" s="0" t="s">
        <v>40</v>
      </c>
      <c r="B27" s="9" t="n">
        <f aca="false">(DHIS2_Raw_Data!H68-DHIS2_Raw_Data!J68)/DHIS2_Raw_Data!H68</f>
        <v>0.137030348412104</v>
      </c>
      <c r="C27" s="9" t="n">
        <f aca="false">(DHIS2_Raw_Data!H69-DHIS2_Raw_Data!J69)/DHIS2_Raw_Data!H69</f>
        <v>0.145885714285714</v>
      </c>
      <c r="D27" s="9" t="n">
        <f aca="false">(DHIS2_Raw_Data!H70-DHIS2_Raw_Data!J70)/DHIS2_Raw_Data!H70</f>
        <v>0.101274093433518</v>
      </c>
    </row>
    <row r="28" customFormat="false" ht="15" hidden="false" customHeight="false" outlineLevel="0" collapsed="false">
      <c r="A28" s="0" t="s">
        <v>41</v>
      </c>
      <c r="B28" s="9" t="n">
        <f aca="false">(DHIS2_Raw_Data!H71-DHIS2_Raw_Data!J71)/DHIS2_Raw_Data!H71</f>
        <v>0.111635141237269</v>
      </c>
      <c r="C28" s="9" t="n">
        <f aca="false">(DHIS2_Raw_Data!H72-DHIS2_Raw_Data!J72)/DHIS2_Raw_Data!H72</f>
        <v>0.0832633641197873</v>
      </c>
      <c r="D28" s="9" t="n">
        <f aca="false">(DHIS2_Raw_Data!H73-DHIS2_Raw_Data!J73)/DHIS2_Raw_Data!H73</f>
        <v>0.11233967271119</v>
      </c>
    </row>
    <row r="29" customFormat="false" ht="15" hidden="false" customHeight="false" outlineLevel="0" collapsed="false">
      <c r="A29" s="0" t="s">
        <v>42</v>
      </c>
      <c r="B29" s="9" t="n">
        <f aca="false">(DHIS2_Raw_Data!H74-DHIS2_Raw_Data!J74)/DHIS2_Raw_Data!H74</f>
        <v>0.0927576453007419</v>
      </c>
      <c r="C29" s="9" t="n">
        <f aca="false">(DHIS2_Raw_Data!H75-DHIS2_Raw_Data!J75)/DHIS2_Raw_Data!H75</f>
        <v>0.143167582768759</v>
      </c>
      <c r="D29" s="9" t="n">
        <f aca="false">(DHIS2_Raw_Data!H76-DHIS2_Raw_Data!J76)/DHIS2_Raw_Data!H76</f>
        <v>0.104477611940299</v>
      </c>
    </row>
    <row r="30" customFormat="false" ht="15" hidden="false" customHeight="false" outlineLevel="0" collapsed="false">
      <c r="A30" s="0" t="s">
        <v>43</v>
      </c>
      <c r="B30" s="9" t="n">
        <f aca="false">(DHIS2_Raw_Data!H77-DHIS2_Raw_Data!J77)/DHIS2_Raw_Data!H77</f>
        <v>0.09603779763297</v>
      </c>
      <c r="C30" s="9" t="n">
        <f aca="false">(DHIS2_Raw_Data!H78-DHIS2_Raw_Data!J78)/DHIS2_Raw_Data!H78</f>
        <v>0.149949398403239</v>
      </c>
      <c r="D30" s="9" t="n">
        <f aca="false">(DHIS2_Raw_Data!H79-DHIS2_Raw_Data!J79)/DHIS2_Raw_Data!H79</f>
        <v>0.117679955260845</v>
      </c>
    </row>
    <row r="31" customFormat="false" ht="15" hidden="false" customHeight="false" outlineLevel="0" collapsed="false">
      <c r="A31" s="0" t="s">
        <v>44</v>
      </c>
      <c r="B31" s="9" t="n">
        <f aca="false">(DHIS2_Raw_Data!H80-DHIS2_Raw_Data!J80)/DHIS2_Raw_Data!H80</f>
        <v>0.147383683739179</v>
      </c>
      <c r="C31" s="9" t="n">
        <f aca="false">(DHIS2_Raw_Data!H81-DHIS2_Raw_Data!J81)/DHIS2_Raw_Data!H81</f>
        <v>0.0965275024075228</v>
      </c>
      <c r="D31" s="9" t="n">
        <f aca="false">(DHIS2_Raw_Data!H82-DHIS2_Raw_Data!J82)/DHIS2_Raw_Data!H82</f>
        <v>0.112069612182132</v>
      </c>
    </row>
    <row r="32" customFormat="false" ht="15" hidden="false" customHeight="false" outlineLevel="0" collapsed="false">
      <c r="A32" s="0" t="s">
        <v>45</v>
      </c>
      <c r="B32" s="9" t="n">
        <f aca="false">(DHIS2_Raw_Data!H83-DHIS2_Raw_Data!J83)/DHIS2_Raw_Data!H83</f>
        <v>0.132395873880888</v>
      </c>
      <c r="C32" s="9" t="n">
        <f aca="false">(DHIS2_Raw_Data!H84-DHIS2_Raw_Data!J84)/DHIS2_Raw_Data!H84</f>
        <v>0.0909610257712327</v>
      </c>
      <c r="D32" s="9" t="n">
        <f aca="false">(DHIS2_Raw_Data!H85-DHIS2_Raw_Data!J85)/DHIS2_Raw_Data!H85</f>
        <v>0.105018015642851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4" min="2" style="0" width="14"/>
    <col collapsed="false" customWidth="true" hidden="false" outlineLevel="0" max="5" min="5" style="0" width="16"/>
  </cols>
  <sheetData>
    <row r="1" customFormat="false" ht="16.15" hidden="false" customHeight="false" outlineLevel="0" collapsed="false">
      <c r="A1" s="14" t="s">
        <v>61</v>
      </c>
    </row>
    <row r="3" customFormat="false" ht="15" hidden="false" customHeight="false" outlineLevel="0" collapsed="false">
      <c r="A3" s="15" t="s">
        <v>0</v>
      </c>
      <c r="B3" s="15" t="s">
        <v>62</v>
      </c>
      <c r="C3" s="15" t="s">
        <v>63</v>
      </c>
      <c r="D3" s="15" t="s">
        <v>64</v>
      </c>
      <c r="E3" s="15" t="s">
        <v>65</v>
      </c>
    </row>
    <row r="4" customFormat="false" ht="15" hidden="false" customHeight="false" outlineLevel="0" collapsed="false">
      <c r="A4" s="0" t="s">
        <v>12</v>
      </c>
      <c r="B4" s="0" t="n">
        <f aca="false">DHIS2_Raw_Data!L2</f>
        <v>1984</v>
      </c>
      <c r="C4" s="0" t="n">
        <f aca="false">DHIS2_Raw_Data!L3</f>
        <v>1255</v>
      </c>
      <c r="D4" s="0" t="n">
        <f aca="false">DHIS2_Raw_Data!L4</f>
        <v>594</v>
      </c>
      <c r="E4" s="0" t="n">
        <f aca="false">B4+C4+D4</f>
        <v>3833</v>
      </c>
    </row>
    <row r="5" customFormat="false" ht="15" hidden="false" customHeight="false" outlineLevel="0" collapsed="false">
      <c r="A5" s="0" t="s">
        <v>19</v>
      </c>
      <c r="B5" s="0" t="n">
        <f aca="false">DHIS2_Raw_Data!L5</f>
        <v>865</v>
      </c>
      <c r="C5" s="0" t="n">
        <f aca="false">DHIS2_Raw_Data!L6</f>
        <v>1057</v>
      </c>
      <c r="D5" s="0" t="n">
        <f aca="false">DHIS2_Raw_Data!L7</f>
        <v>513</v>
      </c>
      <c r="E5" s="0" t="n">
        <f aca="false">B5+C5+D5</f>
        <v>2435</v>
      </c>
    </row>
    <row r="6" customFormat="false" ht="15" hidden="false" customHeight="false" outlineLevel="0" collapsed="false">
      <c r="A6" s="0" t="s">
        <v>20</v>
      </c>
      <c r="B6" s="0" t="n">
        <f aca="false">DHIS2_Raw_Data!L8</f>
        <v>1367</v>
      </c>
      <c r="C6" s="0" t="n">
        <f aca="false">DHIS2_Raw_Data!L9</f>
        <v>689</v>
      </c>
      <c r="D6" s="0" t="n">
        <f aca="false">DHIS2_Raw_Data!L10</f>
        <v>1033</v>
      </c>
      <c r="E6" s="0" t="n">
        <f aca="false">B6+C6+D6</f>
        <v>3089</v>
      </c>
    </row>
    <row r="7" customFormat="false" ht="15" hidden="false" customHeight="false" outlineLevel="0" collapsed="false">
      <c r="A7" s="0" t="s">
        <v>21</v>
      </c>
      <c r="B7" s="0" t="n">
        <f aca="false">DHIS2_Raw_Data!L11</f>
        <v>1169</v>
      </c>
      <c r="C7" s="0" t="n">
        <f aca="false">DHIS2_Raw_Data!L12</f>
        <v>1196</v>
      </c>
      <c r="D7" s="0" t="n">
        <f aca="false">DHIS2_Raw_Data!L13</f>
        <v>829</v>
      </c>
      <c r="E7" s="0" t="n">
        <f aca="false">B7+C7+D7</f>
        <v>3194</v>
      </c>
    </row>
    <row r="8" customFormat="false" ht="15" hidden="false" customHeight="false" outlineLevel="0" collapsed="false">
      <c r="A8" s="0" t="s">
        <v>22</v>
      </c>
      <c r="B8" s="0" t="n">
        <f aca="false">DHIS2_Raw_Data!L14</f>
        <v>812</v>
      </c>
      <c r="C8" s="0" t="n">
        <f aca="false">DHIS2_Raw_Data!L15</f>
        <v>1318</v>
      </c>
      <c r="D8" s="0" t="n">
        <f aca="false">DHIS2_Raw_Data!L16</f>
        <v>1072</v>
      </c>
      <c r="E8" s="0" t="n">
        <f aca="false">B8+C8+D8</f>
        <v>3202</v>
      </c>
    </row>
    <row r="9" customFormat="false" ht="15" hidden="false" customHeight="false" outlineLevel="0" collapsed="false">
      <c r="A9" s="0" t="s">
        <v>23</v>
      </c>
      <c r="B9" s="0" t="n">
        <f aca="false">DHIS2_Raw_Data!L17</f>
        <v>745</v>
      </c>
      <c r="C9" s="0" t="n">
        <f aca="false">DHIS2_Raw_Data!L18</f>
        <v>1630</v>
      </c>
      <c r="D9" s="0" t="n">
        <f aca="false">DHIS2_Raw_Data!L19</f>
        <v>938</v>
      </c>
      <c r="E9" s="0" t="n">
        <f aca="false">B9+C9+D9</f>
        <v>3313</v>
      </c>
    </row>
    <row r="10" customFormat="false" ht="15" hidden="false" customHeight="false" outlineLevel="0" collapsed="false">
      <c r="A10" s="0" t="s">
        <v>24</v>
      </c>
      <c r="B10" s="0" t="n">
        <f aca="false">DHIS2_Raw_Data!L20</f>
        <v>1878</v>
      </c>
      <c r="C10" s="0" t="n">
        <f aca="false">DHIS2_Raw_Data!L21</f>
        <v>690</v>
      </c>
      <c r="D10" s="0" t="n">
        <f aca="false">DHIS2_Raw_Data!L22</f>
        <v>1252</v>
      </c>
      <c r="E10" s="0" t="n">
        <f aca="false">B10+C10+D10</f>
        <v>3820</v>
      </c>
    </row>
    <row r="11" customFormat="false" ht="15" hidden="false" customHeight="false" outlineLevel="0" collapsed="false">
      <c r="A11" s="0" t="s">
        <v>25</v>
      </c>
      <c r="B11" s="0" t="n">
        <f aca="false">DHIS2_Raw_Data!L23</f>
        <v>1323</v>
      </c>
      <c r="C11" s="0" t="n">
        <f aca="false">DHIS2_Raw_Data!L24</f>
        <v>1332</v>
      </c>
      <c r="D11" s="0" t="n">
        <f aca="false">DHIS2_Raw_Data!L25</f>
        <v>471</v>
      </c>
      <c r="E11" s="0" t="n">
        <f aca="false">B11+C11+D11</f>
        <v>3126</v>
      </c>
    </row>
    <row r="12" customFormat="false" ht="15" hidden="false" customHeight="false" outlineLevel="0" collapsed="false">
      <c r="A12" s="0" t="s">
        <v>26</v>
      </c>
      <c r="B12" s="0" t="n">
        <f aca="false">DHIS2_Raw_Data!L26</f>
        <v>2133</v>
      </c>
      <c r="C12" s="0" t="n">
        <f aca="false">DHIS2_Raw_Data!L27</f>
        <v>1458</v>
      </c>
      <c r="D12" s="0" t="n">
        <f aca="false">DHIS2_Raw_Data!L28</f>
        <v>545</v>
      </c>
      <c r="E12" s="0" t="n">
        <f aca="false">B12+C12+D12</f>
        <v>4136</v>
      </c>
    </row>
    <row r="13" customFormat="false" ht="15" hidden="false" customHeight="false" outlineLevel="0" collapsed="false">
      <c r="A13" s="0" t="s">
        <v>27</v>
      </c>
      <c r="B13" s="0" t="n">
        <f aca="false">DHIS2_Raw_Data!L29</f>
        <v>955</v>
      </c>
      <c r="C13" s="0" t="n">
        <f aca="false">DHIS2_Raw_Data!L30</f>
        <v>1288</v>
      </c>
      <c r="D13" s="0" t="n">
        <f aca="false">DHIS2_Raw_Data!L31</f>
        <v>652</v>
      </c>
      <c r="E13" s="0" t="n">
        <f aca="false">B13+C13+D13</f>
        <v>2895</v>
      </c>
    </row>
    <row r="14" customFormat="false" ht="15" hidden="false" customHeight="false" outlineLevel="0" collapsed="false">
      <c r="A14" s="0" t="s">
        <v>28</v>
      </c>
      <c r="B14" s="0" t="n">
        <f aca="false">DHIS2_Raw_Data!L32</f>
        <v>2216</v>
      </c>
      <c r="C14" s="0" t="n">
        <f aca="false">DHIS2_Raw_Data!L33</f>
        <v>1583</v>
      </c>
      <c r="D14" s="0" t="n">
        <f aca="false">DHIS2_Raw_Data!L34</f>
        <v>1150</v>
      </c>
      <c r="E14" s="0" t="n">
        <f aca="false">B14+C14+D14</f>
        <v>4949</v>
      </c>
    </row>
    <row r="15" customFormat="false" ht="15" hidden="false" customHeight="false" outlineLevel="0" collapsed="false">
      <c r="A15" s="0" t="s">
        <v>29</v>
      </c>
      <c r="B15" s="0" t="n">
        <f aca="false">DHIS2_Raw_Data!L35</f>
        <v>1475</v>
      </c>
      <c r="C15" s="0" t="n">
        <f aca="false">DHIS2_Raw_Data!L36</f>
        <v>1312</v>
      </c>
      <c r="D15" s="0" t="n">
        <f aca="false">DHIS2_Raw_Data!L37</f>
        <v>1333</v>
      </c>
      <c r="E15" s="0" t="n">
        <f aca="false">B15+C15+D15</f>
        <v>4120</v>
      </c>
    </row>
    <row r="16" customFormat="false" ht="15" hidden="false" customHeight="false" outlineLevel="0" collapsed="false">
      <c r="A16" s="0" t="s">
        <v>30</v>
      </c>
      <c r="B16" s="0" t="n">
        <f aca="false">DHIS2_Raw_Data!L38</f>
        <v>1433</v>
      </c>
      <c r="C16" s="0" t="n">
        <f aca="false">DHIS2_Raw_Data!L39</f>
        <v>1243</v>
      </c>
      <c r="D16" s="0" t="n">
        <f aca="false">DHIS2_Raw_Data!L40</f>
        <v>1208</v>
      </c>
      <c r="E16" s="0" t="n">
        <f aca="false">B16+C16+D16</f>
        <v>3884</v>
      </c>
    </row>
    <row r="17" customFormat="false" ht="15" hidden="false" customHeight="false" outlineLevel="0" collapsed="false">
      <c r="A17" s="0" t="s">
        <v>31</v>
      </c>
      <c r="B17" s="0" t="n">
        <f aca="false">DHIS2_Raw_Data!L41</f>
        <v>1203</v>
      </c>
      <c r="C17" s="0" t="n">
        <f aca="false">DHIS2_Raw_Data!L42</f>
        <v>956</v>
      </c>
      <c r="D17" s="0" t="n">
        <f aca="false">DHIS2_Raw_Data!L43</f>
        <v>1282</v>
      </c>
      <c r="E17" s="0" t="n">
        <f aca="false">B17+C17+D17</f>
        <v>3441</v>
      </c>
    </row>
    <row r="18" customFormat="false" ht="15" hidden="false" customHeight="false" outlineLevel="0" collapsed="false">
      <c r="A18" s="0" t="s">
        <v>32</v>
      </c>
      <c r="B18" s="0" t="n">
        <f aca="false">DHIS2_Raw_Data!L44</f>
        <v>1688</v>
      </c>
      <c r="C18" s="0" t="n">
        <f aca="false">DHIS2_Raw_Data!L45</f>
        <v>1808</v>
      </c>
      <c r="D18" s="0" t="n">
        <f aca="false">DHIS2_Raw_Data!L46</f>
        <v>733</v>
      </c>
      <c r="E18" s="0" t="n">
        <f aca="false">B18+C18+D18</f>
        <v>4229</v>
      </c>
    </row>
    <row r="19" customFormat="false" ht="15" hidden="false" customHeight="false" outlineLevel="0" collapsed="false">
      <c r="A19" s="0" t="s">
        <v>33</v>
      </c>
      <c r="B19" s="0" t="n">
        <f aca="false">DHIS2_Raw_Data!L47</f>
        <v>2054</v>
      </c>
      <c r="C19" s="0" t="n">
        <f aca="false">DHIS2_Raw_Data!L48</f>
        <v>1642</v>
      </c>
      <c r="D19" s="0" t="n">
        <f aca="false">DHIS2_Raw_Data!L49</f>
        <v>1185</v>
      </c>
      <c r="E19" s="0" t="n">
        <f aca="false">B19+C19+D19</f>
        <v>4881</v>
      </c>
    </row>
    <row r="20" customFormat="false" ht="15" hidden="false" customHeight="false" outlineLevel="0" collapsed="false">
      <c r="A20" s="0" t="s">
        <v>34</v>
      </c>
      <c r="B20" s="0" t="n">
        <f aca="false">DHIS2_Raw_Data!L50</f>
        <v>1100</v>
      </c>
      <c r="C20" s="0" t="n">
        <f aca="false">DHIS2_Raw_Data!L51</f>
        <v>1155</v>
      </c>
      <c r="D20" s="0" t="n">
        <f aca="false">DHIS2_Raw_Data!L52</f>
        <v>1379</v>
      </c>
      <c r="E20" s="0" t="n">
        <f aca="false">B20+C20+D20</f>
        <v>3634</v>
      </c>
    </row>
    <row r="21" customFormat="false" ht="15" hidden="false" customHeight="false" outlineLevel="0" collapsed="false">
      <c r="A21" s="0" t="s">
        <v>35</v>
      </c>
      <c r="B21" s="0" t="n">
        <f aca="false">DHIS2_Raw_Data!L53</f>
        <v>2294</v>
      </c>
      <c r="C21" s="0" t="n">
        <f aca="false">DHIS2_Raw_Data!L54</f>
        <v>1265</v>
      </c>
      <c r="D21" s="0" t="n">
        <f aca="false">DHIS2_Raw_Data!L55</f>
        <v>1228</v>
      </c>
      <c r="E21" s="0" t="n">
        <f aca="false">B21+C21+D21</f>
        <v>4787</v>
      </c>
    </row>
    <row r="22" customFormat="false" ht="15" hidden="false" customHeight="false" outlineLevel="0" collapsed="false">
      <c r="A22" s="0" t="s">
        <v>36</v>
      </c>
      <c r="B22" s="0" t="n">
        <f aca="false">DHIS2_Raw_Data!L56</f>
        <v>2046</v>
      </c>
      <c r="C22" s="0" t="n">
        <f aca="false">DHIS2_Raw_Data!L57</f>
        <v>880</v>
      </c>
      <c r="D22" s="0" t="n">
        <f aca="false">DHIS2_Raw_Data!L58</f>
        <v>470</v>
      </c>
      <c r="E22" s="0" t="n">
        <f aca="false">B22+C22+D22</f>
        <v>3396</v>
      </c>
    </row>
    <row r="23" customFormat="false" ht="15" hidden="false" customHeight="false" outlineLevel="0" collapsed="false">
      <c r="A23" s="0" t="s">
        <v>37</v>
      </c>
      <c r="B23" s="0" t="n">
        <f aca="false">DHIS2_Raw_Data!L59</f>
        <v>1793</v>
      </c>
      <c r="C23" s="0" t="n">
        <f aca="false">DHIS2_Raw_Data!L60</f>
        <v>1309</v>
      </c>
      <c r="D23" s="0" t="n">
        <f aca="false">DHIS2_Raw_Data!L61</f>
        <v>606</v>
      </c>
      <c r="E23" s="0" t="n">
        <f aca="false">B23+C23+D23</f>
        <v>3708</v>
      </c>
    </row>
    <row r="24" customFormat="false" ht="15" hidden="false" customHeight="false" outlineLevel="0" collapsed="false">
      <c r="A24" s="0" t="s">
        <v>38</v>
      </c>
      <c r="B24" s="0" t="n">
        <f aca="false">DHIS2_Raw_Data!L62</f>
        <v>1726</v>
      </c>
      <c r="C24" s="0" t="n">
        <f aca="false">DHIS2_Raw_Data!L63</f>
        <v>1785</v>
      </c>
      <c r="D24" s="0" t="n">
        <f aca="false">DHIS2_Raw_Data!L64</f>
        <v>984</v>
      </c>
      <c r="E24" s="0" t="n">
        <f aca="false">B24+C24+D24</f>
        <v>4495</v>
      </c>
    </row>
    <row r="25" customFormat="false" ht="15" hidden="false" customHeight="false" outlineLevel="0" collapsed="false">
      <c r="A25" s="0" t="s">
        <v>39</v>
      </c>
      <c r="B25" s="0" t="n">
        <f aca="false">DHIS2_Raw_Data!L65</f>
        <v>2224</v>
      </c>
      <c r="C25" s="0" t="n">
        <f aca="false">DHIS2_Raw_Data!L66</f>
        <v>1819</v>
      </c>
      <c r="D25" s="0" t="n">
        <f aca="false">DHIS2_Raw_Data!L67</f>
        <v>946</v>
      </c>
      <c r="E25" s="0" t="n">
        <f aca="false">B25+C25+D25</f>
        <v>4989</v>
      </c>
    </row>
    <row r="26" customFormat="false" ht="15" hidden="false" customHeight="false" outlineLevel="0" collapsed="false">
      <c r="A26" s="0" t="s">
        <v>40</v>
      </c>
      <c r="B26" s="0" t="n">
        <f aca="false">DHIS2_Raw_Data!L68</f>
        <v>1605</v>
      </c>
      <c r="C26" s="0" t="n">
        <f aca="false">DHIS2_Raw_Data!L69</f>
        <v>1061</v>
      </c>
      <c r="D26" s="0" t="n">
        <f aca="false">DHIS2_Raw_Data!L70</f>
        <v>1147</v>
      </c>
      <c r="E26" s="0" t="n">
        <f aca="false">B26+C26+D26</f>
        <v>3813</v>
      </c>
    </row>
    <row r="27" customFormat="false" ht="15" hidden="false" customHeight="false" outlineLevel="0" collapsed="false">
      <c r="A27" s="0" t="s">
        <v>41</v>
      </c>
      <c r="B27" s="0" t="n">
        <f aca="false">DHIS2_Raw_Data!L71</f>
        <v>2283</v>
      </c>
      <c r="C27" s="0" t="n">
        <f aca="false">DHIS2_Raw_Data!L72</f>
        <v>1005</v>
      </c>
      <c r="D27" s="0" t="n">
        <f aca="false">DHIS2_Raw_Data!L73</f>
        <v>930</v>
      </c>
      <c r="E27" s="0" t="n">
        <f aca="false">B27+C27+D27</f>
        <v>4218</v>
      </c>
    </row>
    <row r="28" customFormat="false" ht="15" hidden="false" customHeight="false" outlineLevel="0" collapsed="false">
      <c r="A28" s="0" t="s">
        <v>42</v>
      </c>
      <c r="B28" s="0" t="n">
        <f aca="false">DHIS2_Raw_Data!L74</f>
        <v>908</v>
      </c>
      <c r="C28" s="0" t="n">
        <f aca="false">DHIS2_Raw_Data!L75</f>
        <v>1090</v>
      </c>
      <c r="D28" s="0" t="n">
        <f aca="false">DHIS2_Raw_Data!L76</f>
        <v>1206</v>
      </c>
      <c r="E28" s="0" t="n">
        <f aca="false">B28+C28+D28</f>
        <v>3204</v>
      </c>
    </row>
    <row r="29" customFormat="false" ht="15" hidden="false" customHeight="false" outlineLevel="0" collapsed="false">
      <c r="A29" s="0" t="s">
        <v>43</v>
      </c>
      <c r="B29" s="0" t="n">
        <f aca="false">DHIS2_Raw_Data!L77</f>
        <v>1943</v>
      </c>
      <c r="C29" s="0" t="n">
        <f aca="false">DHIS2_Raw_Data!L78</f>
        <v>1387</v>
      </c>
      <c r="D29" s="0" t="n">
        <f aca="false">DHIS2_Raw_Data!L79</f>
        <v>1161</v>
      </c>
      <c r="E29" s="0" t="n">
        <f aca="false">B29+C29+D29</f>
        <v>4491</v>
      </c>
    </row>
    <row r="30" customFormat="false" ht="15" hidden="false" customHeight="false" outlineLevel="0" collapsed="false">
      <c r="A30" s="0" t="s">
        <v>44</v>
      </c>
      <c r="B30" s="0" t="n">
        <f aca="false">DHIS2_Raw_Data!L80</f>
        <v>2273</v>
      </c>
      <c r="C30" s="0" t="n">
        <f aca="false">DHIS2_Raw_Data!L81</f>
        <v>1576</v>
      </c>
      <c r="D30" s="0" t="n">
        <f aca="false">DHIS2_Raw_Data!L82</f>
        <v>813</v>
      </c>
      <c r="E30" s="0" t="n">
        <f aca="false">B30+C30+D30</f>
        <v>4662</v>
      </c>
    </row>
    <row r="31" customFormat="false" ht="15" hidden="false" customHeight="false" outlineLevel="0" collapsed="false">
      <c r="A31" s="0" t="s">
        <v>45</v>
      </c>
      <c r="B31" s="0" t="n">
        <f aca="false">DHIS2_Raw_Data!L83</f>
        <v>1565</v>
      </c>
      <c r="C31" s="0" t="n">
        <f aca="false">DHIS2_Raw_Data!L84</f>
        <v>1627</v>
      </c>
      <c r="D31" s="0" t="n">
        <f aca="false">DHIS2_Raw_Data!L85</f>
        <v>1045</v>
      </c>
      <c r="E31" s="0" t="n">
        <f aca="false">B31+C31+D31</f>
        <v>4237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2026-05-14T06:01:20Z</dcterms:created>
  <dc:creator>openpyxl</dc:creator>
  <dc:description/>
  <dc:language>en-US</dc:language>
  <cp:lastModifiedBy/>
  <dcterms:modified xsi:type="dcterms:W3CDTF">2026-05-14T06:01:27Z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